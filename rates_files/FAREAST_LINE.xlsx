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NGHAI" sheetId="1" state="visible" r:id="rId3"/>
    <sheet name="QINGDAO" sheetId="2" state="visible" r:id="rId4"/>
    <sheet name="TIANJIN" sheetId="3" state="visible" r:id="rId5"/>
    <sheet name="NINGBO" sheetId="4" state="visible" r:id="rId6"/>
    <sheet name="DALIAN" sheetId="5" state="visible" r:id="rId7"/>
    <sheet name="XIAMEN" sheetId="6" state="visible" r:id="rId8"/>
    <sheet name="NANSHA" sheetId="7" state="visible" r:id="rId9"/>
    <sheet name="YANTIAN" sheetId="8" state="visible" r:id="rId10"/>
    <sheet name="SHEKOU" sheetId="9" state="visible" r:id="rId11"/>
    <sheet name="Yangtze River Feeder Services" sheetId="10" state="visible" r:id="rId12"/>
    <sheet name="Multimodal Transport Service" sheetId="11" state="visible" r:id="rId13"/>
  </sheets>
  <definedNames>
    <definedName function="false" hidden="true" localSheetId="4" name="_xlnm._FilterDatabase" vbProcedure="false">DALIAN!$A$1:$N$70</definedName>
    <definedName function="false" hidden="true" localSheetId="6" name="_xlnm._FilterDatabase" vbProcedure="false">NANSHA!$A$1:$N$41</definedName>
    <definedName function="false" hidden="true" localSheetId="3" name="_xlnm._FilterDatabase" vbProcedure="false">NINGBO!$A$1:$N$85</definedName>
    <definedName function="false" hidden="true" localSheetId="1" name="_xlnm._FilterDatabase" vbProcedure="false">QINGDAO!$A$1:$Q$169</definedName>
    <definedName function="false" hidden="true" localSheetId="0" name="_xlnm._FilterDatabase" vbProcedure="false">SHANGHAI!$A$1:$O$134</definedName>
    <definedName function="false" hidden="true" localSheetId="8" name="_xlnm._FilterDatabase" vbProcedure="false">SHEKOU!$A$1:$N$59</definedName>
    <definedName function="false" hidden="true" localSheetId="2" name="_xlnm._FilterDatabase" vbProcedure="false">TIANJIN!$A$1:$N$91</definedName>
    <definedName function="false" hidden="true" localSheetId="5" name="_xlnm._FilterDatabase" vbProcedure="false">XIAMEN!$A$1:$N$71</definedName>
    <definedName function="false" hidden="true" localSheetId="7" name="_xlnm._FilterDatabase" vbProcedure="false">YANTIAN!$A$1:$N$35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<sst xmlns="http://schemas.openxmlformats.org/spreadsheetml/2006/main" count="5040" uniqueCount="323">
  <si>
    <t xml:space="preserve">POL:SHANGHAI
SOC</t>
  </si>
  <si>
    <t xml:space="preserve">Carrier</t>
  </si>
  <si>
    <t xml:space="preserve">20GP(SOC)</t>
  </si>
  <si>
    <t xml:space="preserve">40HQ(SOC)</t>
  </si>
  <si>
    <t xml:space="preserve">POD</t>
  </si>
  <si>
    <t xml:space="preserve">VESSEL / VOYAGE</t>
  </si>
  <si>
    <t xml:space="preserve">CUT-OFF</t>
  </si>
  <si>
    <t xml:space="preserve">ETD</t>
  </si>
  <si>
    <t xml:space="preserve">T/T</t>
  </si>
  <si>
    <t xml:space="preserve">D/T</t>
  </si>
  <si>
    <t xml:space="preserve">Validity</t>
  </si>
  <si>
    <t xml:space="preserve">TERMS(FILO)</t>
  </si>
  <si>
    <r>
      <rPr>
        <sz val="12"/>
        <color theme="1"/>
        <rFont val="Calibri"/>
        <family val="0"/>
        <charset val="134"/>
      </rPr>
      <t xml:space="preserve">Index</t>
    </r>
    <r>
      <rPr>
        <sz val="12"/>
        <color theme="1"/>
        <rFont val="宋体"/>
        <family val="0"/>
        <charset val="134"/>
      </rPr>
      <t xml:space="preserve"> </t>
    </r>
    <r>
      <rPr>
        <sz val="12"/>
        <color theme="1"/>
        <rFont val="Calibri"/>
        <family val="0"/>
        <charset val="134"/>
      </rPr>
      <t xml:space="preserve">COC</t>
    </r>
  </si>
  <si>
    <t xml:space="preserve">SCO</t>
  </si>
  <si>
    <t xml:space="preserve">Vladivostok Commercial Port</t>
  </si>
  <si>
    <t xml:space="preserve">HAI SHUN FENG 27
2603N</t>
  </si>
  <si>
    <t xml:space="preserve">DIRECT</t>
  </si>
  <si>
    <t xml:space="preserve">Include DTHC $550/650
Exclude DDF $50/bill
DTHC&amp;DDF PP/CC Available</t>
  </si>
  <si>
    <t xml:space="preserve">Drop off Vladivostok</t>
  </si>
  <si>
    <t xml:space="preserve">VRANGEL BAY</t>
  </si>
  <si>
    <t xml:space="preserve">Drop off Moscow</t>
  </si>
  <si>
    <t xml:space="preserve">SINOKOR</t>
  </si>
  <si>
    <t xml:space="preserve">Vladivostok Commercial / Fish Port</t>
  </si>
  <si>
    <t xml:space="preserve">SURABAYA VOYAGER
9018E</t>
  </si>
  <si>
    <t xml:space="preserve">4~5</t>
  </si>
  <si>
    <t xml:space="preserve">Include DTHC $550/650
DTHC PP/CC Available</t>
  </si>
  <si>
    <t xml:space="preserve">Drop off Novosibirsk</t>
  </si>
  <si>
    <t xml:space="preserve">HEUNG-A</t>
  </si>
  <si>
    <t xml:space="preserve">Drop off Ekaterinburg</t>
  </si>
  <si>
    <t xml:space="preserve">SITC</t>
  </si>
  <si>
    <t xml:space="preserve">/</t>
  </si>
  <si>
    <t xml:space="preserve">HAI SHUN FENG 27
2601N</t>
  </si>
  <si>
    <t xml:space="preserve">6~7</t>
  </si>
  <si>
    <t xml:space="preserve">Include DTHC $400/500
DDF $50/bill
DTHC&amp;DDF PP/CC Available</t>
  </si>
  <si>
    <t xml:space="preserve">Drop off Krasnoyarsk</t>
  </si>
  <si>
    <t xml:space="preserve">DONGYOUNG</t>
  </si>
  <si>
    <t xml:space="preserve">SONG YUN HE 0006E
&amp; DONGJIN ENTERPRISE 0283E
&amp; PEGASUS GRACE 2606E</t>
  </si>
  <si>
    <t xml:space="preserve">17-Feb
&amp; 22-Feb
&amp; 23-Feb</t>
  </si>
  <si>
    <t xml:space="preserve">20-Feb
&amp; 25-Feb
&amp; 26-Feb</t>
  </si>
  <si>
    <t xml:space="preserve">8~9</t>
  </si>
  <si>
    <t xml:space="preserve">VIA BUSAN </t>
  </si>
  <si>
    <t xml:space="preserve">Include DTHC
Exclude DDF $50/bill</t>
  </si>
  <si>
    <t xml:space="preserve">Drop off St.Petersburg</t>
  </si>
  <si>
    <t xml:space="preserve">FESCO</t>
  </si>
  <si>
    <t xml:space="preserve">FESCO DALNEGORSK HK734N
&amp; FESCO SOFIA HK735N</t>
  </si>
  <si>
    <t xml:space="preserve">2-Mar
&amp; 9-Mar</t>
  </si>
  <si>
    <t xml:space="preserve">5-Mar
&amp; 12-Mar</t>
  </si>
  <si>
    <t xml:space="preserve">Include DTHC $350/450
DTHC PP/CC Available</t>
  </si>
  <si>
    <t xml:space="preserve">Drop off Irkutsk</t>
  </si>
  <si>
    <t xml:space="preserve">MSC</t>
  </si>
  <si>
    <t xml:space="preserve">Vladivostok Fish Port</t>
  </si>
  <si>
    <t xml:space="preserve">ZIM MOUNT RAINIER 11E</t>
  </si>
  <si>
    <r>
      <rPr>
        <sz val="10"/>
        <color theme="1"/>
        <rFont val="Calibri"/>
        <family val="0"/>
        <charset val="134"/>
      </rPr>
      <t xml:space="preserve">Include DTHC</t>
    </r>
    <r>
      <rPr>
        <sz val="10"/>
        <color theme="1"/>
        <rFont val="Noto Sans CJK SC"/>
        <family val="2"/>
      </rPr>
      <t xml:space="preserve">、</t>
    </r>
    <r>
      <rPr>
        <sz val="10"/>
        <color theme="1"/>
        <rFont val="Calibri"/>
        <family val="0"/>
        <charset val="134"/>
      </rPr>
      <t xml:space="preserve">DDF</t>
    </r>
  </si>
  <si>
    <t xml:space="preserve">Drop off Khabarovsk</t>
  </si>
  <si>
    <t xml:space="preserve">PANDA</t>
  </si>
  <si>
    <t xml:space="preserve">Vladivostok (PL)
&amp; Vladivostok (VMPP)
&amp; Vladivostok (PL)</t>
  </si>
  <si>
    <t xml:space="preserve">HAI RUN SHENG DA 028E
&amp; TIAN HUI JI YUN 035E
&amp; HAI RUN SHENG DA 029E</t>
  </si>
  <si>
    <t xml:space="preserve">22-Feb
&amp; 4-Mar
&amp; 6-Mar</t>
  </si>
  <si>
    <t xml:space="preserve">25-Feb
&amp; 7-Mar
&amp; 9-Mar</t>
  </si>
  <si>
    <t xml:space="preserve">Drop off Minsk</t>
  </si>
  <si>
    <t xml:space="preserve">SWIFT (TAICANG)</t>
  </si>
  <si>
    <t xml:space="preserve">Vostochny</t>
  </si>
  <si>
    <t xml:space="preserve">HT GLORY
2603N</t>
  </si>
  <si>
    <t xml:space="preserve">Include DTHC</t>
  </si>
  <si>
    <t xml:space="preserve">NEW NEW</t>
  </si>
  <si>
    <t xml:space="preserve">BELLE ARIES
2607N</t>
  </si>
  <si>
    <t xml:space="preserve">EUROSIB</t>
  </si>
  <si>
    <t xml:space="preserve">Nakhodka</t>
  </si>
  <si>
    <t xml:space="preserve">Hua Zheng Hai Gang
62603W</t>
  </si>
  <si>
    <t xml:space="preserve">POL:SHANGHAI
Drop off Vladivostok
(VRANGEL/NAKHODKA)</t>
  </si>
  <si>
    <t xml:space="preserve">20GP(COC)</t>
  </si>
  <si>
    <t xml:space="preserve">40HQ(COC)</t>
  </si>
  <si>
    <t xml:space="preserve">COC</t>
  </si>
  <si>
    <t xml:space="preserve">COC1</t>
  </si>
  <si>
    <t xml:space="preserve">VRANGEL</t>
  </si>
  <si>
    <t xml:space="preserve">BACK</t>
  </si>
  <si>
    <t xml:space="preserve">POL:SHANGHAI
Drop off Moscow</t>
  </si>
  <si>
    <t xml:space="preserve">POL:SHANGHAI
Drop off Novosibirsk</t>
  </si>
  <si>
    <t xml:space="preserve">POL:SHANGHAI
Drop off Ekaterinburg</t>
  </si>
  <si>
    <t xml:space="preserve">POL:SHANGHAI
Drop off Krasnoyarsk</t>
  </si>
  <si>
    <t xml:space="preserve">POL:SHANGHAI
Drop off St.Petersburg</t>
  </si>
  <si>
    <t xml:space="preserve">POL:SHANGHAI
Drop off Irkutsk</t>
  </si>
  <si>
    <t xml:space="preserve">POL:SHANGHAI
Drop off Khabarovsk</t>
  </si>
  <si>
    <t xml:space="preserve">POL:SHANGHAI
Drop off Minsk</t>
  </si>
  <si>
    <t xml:space="preserve">Product Description:</t>
  </si>
  <si>
    <t xml:space="preserve">1.COC1 refers to the shipping company's SOC + WOSUN container leasing model. The container usage period is 60 days starting from the container pickup date, and demurrage fees will be charged from the 61st day onwards.</t>
  </si>
  <si>
    <t xml:space="preserve">2.COC refers to the shipping company's own container (Carrier's Own Container), which shall be implemented in accordance with the shipping company's standards.</t>
  </si>
  <si>
    <t xml:space="preserve">Updated Date: 10-Feb</t>
  </si>
  <si>
    <t xml:space="preserve">POL:TAO/RZH
SOC</t>
  </si>
  <si>
    <t xml:space="preserve">POL</t>
  </si>
  <si>
    <t xml:space="preserve">FEEDER</t>
  </si>
  <si>
    <t xml:space="preserve">DAGANG</t>
  </si>
  <si>
    <t xml:space="preserve">Feeder from HUANGDAO to DAGANG addition CNY 220/440 per 20GP/40HC</t>
  </si>
  <si>
    <t xml:space="preserve">HUANGDAO</t>
  </si>
  <si>
    <t xml:space="preserve">MSC CELESTINO MARESCA GJ609W</t>
  </si>
  <si>
    <t xml:space="preserve">10~11</t>
  </si>
  <si>
    <r>
      <rPr>
        <sz val="10"/>
        <color rgb="FF000000"/>
        <rFont val="Calibri"/>
        <family val="0"/>
        <charset val="134"/>
      </rPr>
      <t xml:space="preserve">Include DTHC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libri"/>
        <family val="0"/>
        <charset val="134"/>
      </rPr>
      <t xml:space="preserve">DDF</t>
    </r>
  </si>
  <si>
    <t xml:space="preserve">SUNNY ORCHID
2606E</t>
  </si>
  <si>
    <t xml:space="preserve">YOULIAN</t>
  </si>
  <si>
    <t xml:space="preserve">YOULIAN QINGDAO
2605N</t>
  </si>
  <si>
    <r>
      <rPr>
        <sz val="10"/>
        <color theme="1"/>
        <rFont val="Calibri"/>
        <family val="0"/>
        <charset val="134"/>
      </rPr>
      <t xml:space="preserve">Include DTHC</t>
    </r>
    <r>
      <rPr>
        <sz val="10"/>
        <color rgb="FF000000"/>
        <rFont val="宋体"/>
        <family val="0"/>
        <charset val="134"/>
      </rPr>
      <t xml:space="preserve"> </t>
    </r>
    <r>
      <rPr>
        <sz val="10"/>
        <color rgb="FF000000"/>
        <rFont val="Calibri"/>
        <family val="0"/>
        <charset val="134"/>
      </rPr>
      <t xml:space="preserve">$500/600
DTHC PP/CC Available</t>
    </r>
  </si>
  <si>
    <t xml:space="preserve">YOULIAN SHANGHAI
2605N</t>
  </si>
  <si>
    <t xml:space="preserve">SWIFT</t>
  </si>
  <si>
    <t xml:space="preserve">OMIT</t>
  </si>
  <si>
    <t xml:space="preserve">HT GLORY
2601N</t>
  </si>
  <si>
    <t xml:space="preserve">VIA RIZHAO</t>
  </si>
  <si>
    <t xml:space="preserve">HUAXIN</t>
  </si>
  <si>
    <t xml:space="preserve">DATU HONOR
26002N</t>
  </si>
  <si>
    <t xml:space="preserve">Include DTHC
$650/750</t>
  </si>
  <si>
    <r>
      <rPr>
        <sz val="10"/>
        <color theme="1"/>
        <rFont val="Calibri"/>
        <family val="0"/>
        <charset val="134"/>
      </rPr>
      <t xml:space="preserve">Feeder from HUANGDAO to DAGANG addition CNY 220/440 per 20GP/40HC
</t>
    </r>
    <r>
      <rPr>
        <sz val="10"/>
        <color rgb="FFFF0000"/>
        <rFont val="Calibri"/>
        <family val="0"/>
        <charset val="134"/>
      </rPr>
      <t xml:space="preserve">3 Days before ATA</t>
    </r>
  </si>
  <si>
    <t xml:space="preserve">FAST SHIPPING</t>
  </si>
  <si>
    <t xml:space="preserve">GANG TONG 19
119W</t>
  </si>
  <si>
    <r>
      <rPr>
        <sz val="10"/>
        <color theme="1"/>
        <rFont val="Calibri"/>
        <family val="0"/>
        <charset val="134"/>
      </rPr>
      <t xml:space="preserve">Feeder from HUANGDAO to DAGANG addition CNY 330/620 per 20GP/40HC
</t>
    </r>
    <r>
      <rPr>
        <sz val="10"/>
        <color rgb="FFFF0000"/>
        <rFont val="Calibri"/>
        <family val="0"/>
        <charset val="134"/>
      </rPr>
      <t xml:space="preserve">5 Days before ATA</t>
    </r>
  </si>
  <si>
    <t xml:space="preserve">Crystal StPetersburg 22603W</t>
  </si>
  <si>
    <t xml:space="preserve">RIZHAO</t>
  </si>
  <si>
    <t xml:space="preserve">Feeder from
TAO to RZH
addition
USD100/200
per 20GP/40HC</t>
  </si>
  <si>
    <t xml:space="preserve">VRANGEL
&amp; Vladivostok (PL)</t>
  </si>
  <si>
    <t xml:space="preserve">FENG HAI 009E
&amp; HT SUNNY 012E</t>
  </si>
  <si>
    <t xml:space="preserve">26-Feb
&amp; 7-Mar</t>
  </si>
  <si>
    <t xml:space="preserve">1-Mar
&amp; 10-Mar</t>
  </si>
  <si>
    <r>
      <rPr>
        <sz val="10"/>
        <color theme="1"/>
        <rFont val="Calibri"/>
        <family val="0"/>
        <charset val="134"/>
      </rPr>
      <t xml:space="preserve">POL:TAO/RZH
Drop off Vladivostok
(</t>
    </r>
    <r>
      <rPr>
        <sz val="10"/>
        <color rgb="FF000000"/>
        <rFont val="Calibri"/>
        <family val="0"/>
        <charset val="134"/>
      </rPr>
      <t xml:space="preserve">VRANGEL/NAKHODKA)</t>
    </r>
  </si>
  <si>
    <r>
      <rPr>
        <sz val="10"/>
        <color rgb="FF000000"/>
        <rFont val="Calibri"/>
        <family val="0"/>
        <charset val="134"/>
      </rPr>
      <t xml:space="preserve">Include DTHC</t>
    </r>
    <r>
      <rPr>
        <sz val="10"/>
        <color rgb="FF000000"/>
        <rFont val="宋体"/>
        <family val="0"/>
        <charset val="134"/>
      </rPr>
      <t xml:space="preserve"> </t>
    </r>
    <r>
      <rPr>
        <sz val="10"/>
        <color rgb="FF000000"/>
        <rFont val="Calibri"/>
        <family val="0"/>
        <charset val="134"/>
      </rPr>
      <t xml:space="preserve">$650/750</t>
    </r>
  </si>
  <si>
    <t xml:space="preserve">GREEN DRAGON
92603W</t>
  </si>
  <si>
    <t xml:space="preserve">Crystal StPetersburg
22603W</t>
  </si>
  <si>
    <t xml:space="preserve">Vladivostok (PL)</t>
  </si>
  <si>
    <t xml:space="preserve">HT SUNNY
012E</t>
  </si>
  <si>
    <t xml:space="preserve">FENG HAI
009E</t>
  </si>
  <si>
    <t xml:space="preserve">POL:TAO/RZH
Drop off Moscow</t>
  </si>
  <si>
    <t xml:space="preserve">POL:TAO/RZH
Drop off Novosibirsk</t>
  </si>
  <si>
    <t xml:space="preserve">POL:TAO/RZH
Drop off Ekaterinburg</t>
  </si>
  <si>
    <t xml:space="preserve">POL:TAO/RZH
Drop off Krasnoyarsk</t>
  </si>
  <si>
    <t xml:space="preserve">POL:TAO/RZH
Drop off St.Petersburg</t>
  </si>
  <si>
    <t xml:space="preserve">POL:TAO/RZH
Drop off Irkutsk</t>
  </si>
  <si>
    <t xml:space="preserve">POL:TAO/RZH
Drop off Khabarovsk</t>
  </si>
  <si>
    <t xml:space="preserve">POL:TAO/RZH
Drop off Minsk</t>
  </si>
  <si>
    <t xml:space="preserve">POL:TIANJIN
SOC</t>
  </si>
  <si>
    <t xml:space="preserve">REMARKS &amp; TERMS(FILO)</t>
  </si>
  <si>
    <t xml:space="preserve">SAWASDEE SHANGHAI 2610E
&amp; SAWASDEE SHANGHAI 2611E</t>
  </si>
  <si>
    <t xml:space="preserve">8-Mar
&amp; 15-Mar</t>
  </si>
  <si>
    <t xml:space="preserve">5~6</t>
  </si>
  <si>
    <t xml:space="preserve">VIA BUSAN</t>
  </si>
  <si>
    <t xml:space="preserve">Vladivostok Commercial  Port</t>
  </si>
  <si>
    <t xml:space="preserve">Thu &amp; Fri &amp; Sat</t>
  </si>
  <si>
    <t xml:space="preserve">VIA SHANGHAI</t>
  </si>
  <si>
    <t xml:space="preserve">XIN XIN HAI 2
111N</t>
  </si>
  <si>
    <t xml:space="preserve">HT GLORY
2602N</t>
  </si>
  <si>
    <t xml:space="preserve">STAR PIONEER
2608E</t>
  </si>
  <si>
    <t xml:space="preserve">MSC REEF
FY607A</t>
  </si>
  <si>
    <t xml:space="preserve">8~13</t>
  </si>
  <si>
    <t xml:space="preserve">NECO LINE</t>
  </si>
  <si>
    <t xml:space="preserve">PPK-1</t>
  </si>
  <si>
    <t xml:space="preserve">VRANGEL
&amp; VRANGEL
&amp; VLADIVOSTOK (PL)</t>
  </si>
  <si>
    <t xml:space="preserve">FENG HAI 009E
&amp; YUAN RUI JI YUN 032E
&amp; HT SUNNY 012E</t>
  </si>
  <si>
    <t xml:space="preserve">26-Feb
&amp; 6-Mar
&amp; 7-Mar</t>
  </si>
  <si>
    <t xml:space="preserve">POL:TIANJIN
Drop off Vladivostok
(VRANGEL/NAKHODKA
/SOLLERS)</t>
  </si>
  <si>
    <t xml:space="preserve">VLADIVOSTOK (PL)</t>
  </si>
  <si>
    <t xml:space="preserve">FENG HAI 009E
&amp; YUAN RUI JI YUN 032E</t>
  </si>
  <si>
    <t xml:space="preserve">26-Feb
&amp; 6-Mar</t>
  </si>
  <si>
    <t xml:space="preserve">POL:TIANJIN
Drop off Moscow</t>
  </si>
  <si>
    <t xml:space="preserve">POL:TIANJIN
Drop off Novosibirsk</t>
  </si>
  <si>
    <t xml:space="preserve">POL:TIANJIN
Drop off Ekaterinburg</t>
  </si>
  <si>
    <t xml:space="preserve">POL:TIANJIN
Drop off Krasnoyarsk</t>
  </si>
  <si>
    <t xml:space="preserve">POL:TIANJIN
Drop off St.Petersburg</t>
  </si>
  <si>
    <t xml:space="preserve">POL:NINGBO
SOC</t>
  </si>
  <si>
    <t xml:space="preserve">Wed &amp; Thur</t>
  </si>
  <si>
    <t xml:space="preserve">PEGASUS GRACE
2606E</t>
  </si>
  <si>
    <t xml:space="preserve">12~13</t>
  </si>
  <si>
    <t xml:space="preserve">MSC VICTORIA FA605A</t>
  </si>
  <si>
    <t xml:space="preserve">VRANGEL
&amp; VRANGEL
&amp; VRANGEL
&amp; VLADIVOSTOK (PL)</t>
  </si>
  <si>
    <t xml:space="preserve">FENG HAI 009E
&amp; YUAN RUI JI YUN 032E
&amp; MAO GANG QUAN ZHOU 007E
&amp; HT SUNNY 012E</t>
  </si>
  <si>
    <t xml:space="preserve">2-Mar
&amp; 10-Mar
&amp; 14-Mar
&amp; 14-Mar</t>
  </si>
  <si>
    <t xml:space="preserve">4~6</t>
  </si>
  <si>
    <t xml:space="preserve">GANG TONG 16
1081W</t>
  </si>
  <si>
    <t xml:space="preserve">Nakhodka
&amp; Vladivostok Fish Port</t>
  </si>
  <si>
    <t xml:space="preserve">GREEN DRAGON 92603W
&amp; Crystal StPetersburg 22603W</t>
  </si>
  <si>
    <t xml:space="preserve">17-Feb
&amp; 27-Feb</t>
  </si>
  <si>
    <t xml:space="preserve">POL:NINGBO
Drop off Vladivostok
(VRANGEL)</t>
  </si>
  <si>
    <t xml:space="preserve">NO</t>
  </si>
  <si>
    <t xml:space="preserve">PIRCE</t>
  </si>
  <si>
    <t xml:space="preserve">FENG HAI 009E
&amp; YUAN RUI JI YUN 032E
&amp; MAO GANG QUAN ZHOU 007E</t>
  </si>
  <si>
    <t xml:space="preserve">2-Mar
&amp; 10-Mar
&amp; 14-Mar</t>
  </si>
  <si>
    <t xml:space="preserve">POL:NINGBO
Drop off Moscow</t>
  </si>
  <si>
    <t xml:space="preserve">POL:NINGBO
Drop off Novosibirsk</t>
  </si>
  <si>
    <t xml:space="preserve">POL:NINGBO
Drop off Ekaterinburg</t>
  </si>
  <si>
    <t xml:space="preserve">POL:NINGBO
Drop off St.Petersburg</t>
  </si>
  <si>
    <t xml:space="preserve">POL:DALIAN
SOC</t>
  </si>
  <si>
    <t xml:space="preserve">COSCO FOS
411E</t>
  </si>
  <si>
    <t xml:space="preserve">SPACE</t>
  </si>
  <si>
    <t xml:space="preserve">XIN XIN HAI 2
109N</t>
  </si>
  <si>
    <t xml:space="preserve">Tue &amp; Sat</t>
  </si>
  <si>
    <t xml:space="preserve">VIA TAO</t>
  </si>
  <si>
    <t xml:space="preserve">MSC ISABELLA GT605W
&amp; MSC JADE GT606W</t>
  </si>
  <si>
    <t xml:space="preserve">8-Feb
&amp;13-Feb</t>
  </si>
  <si>
    <t xml:space="preserve">POL:DALIAN
Drop off Vladivostok
(VRANGEL)</t>
  </si>
  <si>
    <t xml:space="preserve">POL:DALIAN
Drop off Moscow</t>
  </si>
  <si>
    <t xml:space="preserve">POL:DALIAN
Drop off Novosibirsk</t>
  </si>
  <si>
    <t xml:space="preserve">POL:DALIAN
Drop off Ekaterinburg</t>
  </si>
  <si>
    <t xml:space="preserve">POL:DALIAN
Drop off Krasnoyarsk</t>
  </si>
  <si>
    <t xml:space="preserve">POL:DALIAN
Drop off St.Petersburg</t>
  </si>
  <si>
    <t xml:space="preserve">POL:DALIAN
Drop off Irkutsk</t>
  </si>
  <si>
    <t xml:space="preserve">POL:XIAMEN
SOC</t>
  </si>
  <si>
    <t xml:space="preserve">Tue</t>
  </si>
  <si>
    <t xml:space="preserve">KOBE TRADER
2602N</t>
  </si>
  <si>
    <t xml:space="preserve">STF</t>
  </si>
  <si>
    <t xml:space="preserve">VLADIVOSTOK (VMPP)
&amp; VRANGEL</t>
  </si>
  <si>
    <t xml:space="preserve">TIAN HUI JI YUN 035E
&amp; MAO GANG QUAN ZHOU 007E</t>
  </si>
  <si>
    <t xml:space="preserve">3-Mar
&amp; 11-Mar</t>
  </si>
  <si>
    <t xml:space="preserve">POL:XIAMEN
Drop off Vladivostok
(VRANGEL)</t>
  </si>
  <si>
    <t xml:space="preserve">VLADIVOSTOK (VMPP)</t>
  </si>
  <si>
    <t xml:space="preserve">TIAN HUI JI YUN
035E</t>
  </si>
  <si>
    <t xml:space="preserve">POL:XIAMEN
Drop off Moscow</t>
  </si>
  <si>
    <t xml:space="preserve">POL:XIAMEN
Drop off Novosibirsk</t>
  </si>
  <si>
    <t xml:space="preserve">POL:XIAMEN
Drop off Ekaterinburg</t>
  </si>
  <si>
    <t xml:space="preserve">POL:XIAMEN
Drop off Krasnoyarsk</t>
  </si>
  <si>
    <t xml:space="preserve">POL:XIAMEN
Drop off St.Petersburg</t>
  </si>
  <si>
    <t xml:space="preserve">POL:XIAMEN
Drop off Irkutsk</t>
  </si>
  <si>
    <t xml:space="preserve">POL:NANSHA
SOC</t>
  </si>
  <si>
    <t xml:space="preserve">NEWNEW MOON
045N</t>
  </si>
  <si>
    <t xml:space="preserve">Tue&amp;Fri</t>
  </si>
  <si>
    <t xml:space="preserve">20~21</t>
  </si>
  <si>
    <t xml:space="preserve">VIA SHA</t>
  </si>
  <si>
    <t xml:space="preserve">1-Mar
&amp; 9-Mar</t>
  </si>
  <si>
    <t xml:space="preserve">11~16</t>
  </si>
  <si>
    <t xml:space="preserve">POL:NANSHA
Drop off Vladivostok
(VOSTOCHNY)</t>
  </si>
  <si>
    <t xml:space="preserve">POL:NANSHA
Drop off Moscow</t>
  </si>
  <si>
    <t xml:space="preserve">POL:NANSHA
Drop off Novosibirsk</t>
  </si>
  <si>
    <t xml:space="preserve">POL:NANSHA
Drop off Ekaterinburg</t>
  </si>
  <si>
    <t xml:space="preserve">POL:NANSHA
Drop off Krasnoyarsk</t>
  </si>
  <si>
    <t xml:space="preserve">POL:NANSHA
Drop off St.Petersburg</t>
  </si>
  <si>
    <t xml:space="preserve">
POL:YANTIAN
SOC</t>
  </si>
  <si>
    <t xml:space="preserve">LE HAVRE UX607A</t>
  </si>
  <si>
    <t xml:space="preserve">NSH 1-Mar
&amp; 9-Mar</t>
  </si>
  <si>
    <t xml:space="preserve">VIA NSH</t>
  </si>
  <si>
    <t xml:space="preserve">
POL:YANTIAN
Drop off Vladivostok
(VRANGEL)</t>
  </si>
  <si>
    <t xml:space="preserve">NSH 1-Mar</t>
  </si>
  <si>
    <t xml:space="preserve">POL:YANTIAN
Drop off Moscow</t>
  </si>
  <si>
    <t xml:space="preserve">POL:YANTIAN
Drop off Novosibirsk</t>
  </si>
  <si>
    <t xml:space="preserve">POL:YANTIAN
Drop off Ekaterinburg</t>
  </si>
  <si>
    <t xml:space="preserve">POL:YANTIAN
Drop off Krasnoyarsk</t>
  </si>
  <si>
    <t xml:space="preserve">POL:YANTIAN
Drop off St.Petersburg</t>
  </si>
  <si>
    <t xml:space="preserve">POL:YANTIAN
Drop off Irkutsk</t>
  </si>
  <si>
    <t xml:space="preserve">POL:YANTIAN
Drop off Khabarovsk</t>
  </si>
  <si>
    <t xml:space="preserve">
POL:SHEKOU
SOC</t>
  </si>
  <si>
    <t xml:space="preserve">QINGDAO TRADER
2601N</t>
  </si>
  <si>
    <t xml:space="preserve">MSC NOA ARIELA FA606A</t>
  </si>
  <si>
    <t xml:space="preserve">17~18</t>
  </si>
  <si>
    <t xml:space="preserve">Sat&amp;Sun</t>
  </si>
  <si>
    <t xml:space="preserve">
POL:SHEKOU
Drop off Vladivostok</t>
  </si>
  <si>
    <t xml:space="preserve">POL:SHEKOU
Drop off Moscow</t>
  </si>
  <si>
    <t xml:space="preserve">POL:SHEKOU
Drop off Novosibirsk</t>
  </si>
  <si>
    <t xml:space="preserve">POL:SHEKOU
Drop off Ekaterinburg</t>
  </si>
  <si>
    <t xml:space="preserve">POL:SHEKOU
Drop off Krasnoyarsk</t>
  </si>
  <si>
    <t xml:space="preserve">POL:SHEKOU
Drop off St.Petersburg</t>
  </si>
  <si>
    <t xml:space="preserve">POL:SHEKOU
Drop off Irkutsk</t>
  </si>
  <si>
    <t xml:space="preserve">POL:SHEKOU
Drop off Khabarovsk</t>
  </si>
  <si>
    <t xml:space="preserve">Updated Date: 5-Feb</t>
  </si>
  <si>
    <t xml:space="preserve">Yangtze River Feeder Services</t>
  </si>
  <si>
    <t xml:space="preserve">AREA</t>
  </si>
  <si>
    <t xml:space="preserve">VIA</t>
  </si>
  <si>
    <t xml:space="preserve">POD Vladivostok</t>
  </si>
  <si>
    <t xml:space="preserve">Drop off Samara</t>
  </si>
  <si>
    <t xml:space="preserve">Drop off Tolyatti</t>
  </si>
  <si>
    <t xml:space="preserve">TERM</t>
  </si>
  <si>
    <r>
      <rPr>
        <b val="true"/>
        <sz val="10"/>
        <rFont val="Calibri"/>
        <family val="0"/>
        <charset val="134"/>
      </rPr>
      <t xml:space="preserve">20GP
(</t>
    </r>
    <r>
      <rPr>
        <b val="true"/>
        <sz val="10"/>
        <color rgb="FFFF0000"/>
        <rFont val="Calibri"/>
        <family val="0"/>
        <charset val="134"/>
      </rPr>
      <t xml:space="preserve">FAK</t>
    </r>
    <r>
      <rPr>
        <b val="true"/>
        <sz val="10"/>
        <rFont val="Calibri"/>
        <family val="0"/>
        <charset val="134"/>
      </rPr>
      <t xml:space="preserve"> SOC)</t>
    </r>
  </si>
  <si>
    <r>
      <rPr>
        <b val="true"/>
        <sz val="10"/>
        <rFont val="Calibri"/>
        <family val="0"/>
        <charset val="134"/>
      </rPr>
      <t xml:space="preserve">40HQ
(</t>
    </r>
    <r>
      <rPr>
        <b val="true"/>
        <sz val="10"/>
        <color rgb="FFFF0000"/>
        <rFont val="Calibri"/>
        <family val="0"/>
        <charset val="134"/>
      </rPr>
      <t xml:space="preserve">FAK</t>
    </r>
    <r>
      <rPr>
        <b val="true"/>
        <sz val="10"/>
        <rFont val="Calibri"/>
        <family val="0"/>
        <charset val="134"/>
      </rPr>
      <t xml:space="preserve"> SOC)</t>
    </r>
  </si>
  <si>
    <t xml:space="preserve">20GP
(FAK COC)</t>
  </si>
  <si>
    <t xml:space="preserve">40HQ(FAK COC)</t>
  </si>
  <si>
    <t xml:space="preserve">40HQ
(FAK COC)</t>
  </si>
  <si>
    <t xml:space="preserve">Yangtze River Upper Reaches</t>
  </si>
  <si>
    <t xml:space="preserve">Chongqing</t>
  </si>
  <si>
    <t xml:space="preserve">Wed &amp; Thu &amp; Fri &amp; Sat</t>
  </si>
  <si>
    <t xml:space="preserve">SHANGHAI
-Vladivostok Commercial Port / VRANGEL BAY</t>
  </si>
  <si>
    <r>
      <rPr>
        <b val="true"/>
        <sz val="10"/>
        <rFont val="Calibri"/>
        <family val="0"/>
        <charset val="134"/>
      </rPr>
      <t xml:space="preserve">FILO TERMS.
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Calibri"/>
        <family val="0"/>
        <charset val="134"/>
      </rPr>
      <t xml:space="preserve">include DTHC  &amp; Drop off ,exclude DDF $50/bill</t>
    </r>
    <r>
      <rPr>
        <b val="true"/>
        <sz val="10"/>
        <rFont val="Noto Sans CJK SC"/>
        <family val="2"/>
      </rPr>
      <t xml:space="preserve">）</t>
    </r>
  </si>
  <si>
    <t xml:space="preserve">Yangtze River Middle Reaches</t>
  </si>
  <si>
    <t xml:space="preserve">Wuhan</t>
  </si>
  <si>
    <t xml:space="preserve">Tue &amp; Fri</t>
  </si>
  <si>
    <t xml:space="preserve">Jiujiang</t>
  </si>
  <si>
    <t xml:space="preserve">Wed &amp; Sun</t>
  </si>
  <si>
    <t xml:space="preserve">Yueyang</t>
  </si>
  <si>
    <t xml:space="preserve">Changsha</t>
  </si>
  <si>
    <t xml:space="preserve">Mon &amp; Wed &amp; Fri</t>
  </si>
  <si>
    <t xml:space="preserve">Wuhu</t>
  </si>
  <si>
    <t xml:space="preserve">Wed &amp; Fri</t>
  </si>
  <si>
    <t xml:space="preserve">Yangtze River Lower Reaches</t>
  </si>
  <si>
    <t xml:space="preserve">Nanjing</t>
  </si>
  <si>
    <t xml:space="preserve">Tue &amp; Fri &amp; Sat</t>
  </si>
  <si>
    <t xml:space="preserve">Hefei</t>
  </si>
  <si>
    <t xml:space="preserve">Zhenjiang</t>
  </si>
  <si>
    <t xml:space="preserve">Mon &amp;Tue &amp; Fri</t>
  </si>
  <si>
    <t xml:space="preserve">Yangzhou</t>
  </si>
  <si>
    <t xml:space="preserve">Mon &amp; Tue &amp; Fri &amp; Sat</t>
  </si>
  <si>
    <t xml:space="preserve">Taizhou</t>
  </si>
  <si>
    <t xml:space="preserve">Changzhou</t>
  </si>
  <si>
    <t xml:space="preserve">Zhangjiagang</t>
  </si>
  <si>
    <t xml:space="preserve">Mon &amp; Tue &amp; Thu &amp; Fri</t>
  </si>
  <si>
    <t xml:space="preserve">Jiangyin</t>
  </si>
  <si>
    <t xml:space="preserve">Nantong</t>
  </si>
  <si>
    <t xml:space="preserve">Taicang</t>
  </si>
  <si>
    <t xml:space="preserve">Tue &amp; Wed &amp; Thu &amp; Sat</t>
  </si>
  <si>
    <t xml:space="preserve">Maanshan</t>
  </si>
  <si>
    <t xml:space="preserve">Coastal Area</t>
  </si>
  <si>
    <t xml:space="preserve">Xiamen</t>
  </si>
  <si>
    <t xml:space="preserve">Sat</t>
  </si>
  <si>
    <t xml:space="preserve">Lianyungang</t>
  </si>
  <si>
    <t xml:space="preserve">Wed &amp; Fri &amp; Sun</t>
  </si>
  <si>
    <t xml:space="preserve">Updated Date: 14-Jan</t>
  </si>
  <si>
    <t xml:space="preserve">Multimodal Transport Service</t>
  </si>
  <si>
    <t xml:space="preserve">PORT</t>
  </si>
  <si>
    <t xml:space="preserve">CARRIER</t>
  </si>
  <si>
    <r>
      <rPr>
        <b val="true"/>
        <sz val="10"/>
        <rFont val="Calibri"/>
        <family val="0"/>
        <charset val="134"/>
      </rPr>
      <t xml:space="preserve">Moscow 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</si>
  <si>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Novosibirsk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</si>
  <si>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Ekaterinburg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</si>
  <si>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St.Petersburg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</si>
  <si>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Krasnoyarsk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</si>
  <si>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Irkutsk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</si>
  <si>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r>
      <rPr>
        <b val="true"/>
        <sz val="10"/>
        <rFont val="Calibri"/>
        <family val="0"/>
        <charset val="134"/>
      </rPr>
      <t xml:space="preserve">Minsk
</t>
    </r>
    <r>
      <rPr>
        <b val="true"/>
        <sz val="10"/>
        <color rgb="FFFF0000"/>
        <rFont val="Calibri"/>
        <family val="0"/>
        <charset val="134"/>
      </rPr>
      <t xml:space="preserve">(FAK COC)</t>
    </r>
  </si>
  <si>
    <t xml:space="preserve">20GP(&lt;24t)</t>
  </si>
  <si>
    <t xml:space="preserve">20GP(24-28t)</t>
  </si>
  <si>
    <t xml:space="preserve">40HC</t>
  </si>
  <si>
    <t xml:space="preserve">Vladivostok Commerical port</t>
  </si>
  <si>
    <t xml:space="preserve">Shanghai</t>
  </si>
  <si>
    <t xml:space="preserve">Qingdao</t>
  </si>
  <si>
    <t xml:space="preserve">Updated Date: 26-Jan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</si>
</sst>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d\-mmm;@"/>
    <numFmt numFmtId="166" formatCode="[$-F400]h:mm:ss\ AM/PM"/>
    <numFmt numFmtId="167" formatCode="\$#,##0_);[RED]&quot;($&quot;#,##0\)"/>
    <numFmt numFmtId="168" formatCode="[$-409]General"/>
    <numFmt numFmtId="169" formatCode="dd/mm/yyyy"/>
    <numFmt numFmtId="170" formatCode="dd/mmm"/>
    <numFmt numFmtId="171" formatCode="\$#,##0;&quot;-$&quot;#,##0"/>
  </numFmts>
  <fonts count="3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10"/>
      <color theme="1"/>
      <name val="Calibri"/>
      <family val="0"/>
      <charset val="134"/>
    </font>
    <font>
      <sz val="12"/>
      <color theme="1"/>
      <name val="Calibri"/>
      <family val="0"/>
      <charset val="134"/>
    </font>
    <font>
      <sz val="12"/>
      <color theme="1"/>
      <name val="宋体"/>
      <family val="0"/>
      <charset val="134"/>
    </font>
    <font>
      <sz val="10"/>
      <name val="Calibri"/>
      <family val="0"/>
      <charset val="134"/>
    </font>
    <font>
      <u val="single"/>
      <sz val="11"/>
      <color rgb="FF800080"/>
      <name val="Calibri"/>
      <family val="0"/>
    </font>
    <font>
      <u val="single"/>
      <sz val="11"/>
      <color rgb="FF0000FF"/>
      <name val="宋体"/>
      <family val="0"/>
    </font>
    <font>
      <sz val="10"/>
      <color theme="1"/>
      <name val="Noto Sans CJK SC"/>
      <family val="2"/>
    </font>
    <font>
      <u val="single"/>
      <sz val="11"/>
      <color rgb="FF800080"/>
      <name val="宋体"/>
      <family val="0"/>
    </font>
    <font>
      <sz val="9"/>
      <color theme="1"/>
      <name val="宋体"/>
      <family val="0"/>
      <charset val="134"/>
    </font>
    <font>
      <sz val="16"/>
      <color rgb="FFFF0000"/>
      <name val="Calibri"/>
      <family val="0"/>
      <charset val="134"/>
    </font>
    <font>
      <sz val="16"/>
      <color rgb="FFFF0000"/>
      <name val="宋体"/>
      <family val="0"/>
      <charset val="134"/>
    </font>
    <font>
      <b val="true"/>
      <sz val="12"/>
      <color rgb="FFFF0000"/>
      <name val="Calibri"/>
      <family val="0"/>
      <charset val="134"/>
    </font>
    <font>
      <sz val="12"/>
      <color rgb="FFFF0000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0"/>
      <color rgb="FF000000"/>
      <name val="Calibri"/>
      <family val="0"/>
      <charset val="134"/>
    </font>
    <font>
      <sz val="10"/>
      <color rgb="FF000000"/>
      <name val="Noto Sans CJK SC"/>
      <family val="2"/>
    </font>
    <font>
      <sz val="10"/>
      <color rgb="FF000000"/>
      <name val="宋体"/>
      <family val="0"/>
      <charset val="134"/>
    </font>
    <font>
      <sz val="10"/>
      <color rgb="FFFF0000"/>
      <name val="Calibri"/>
      <family val="0"/>
      <charset val="134"/>
    </font>
    <font>
      <sz val="10.5"/>
      <color theme="1"/>
      <name val="Calibri"/>
      <family val="0"/>
      <charset val="134"/>
    </font>
    <font>
      <u val="single"/>
      <sz val="11"/>
      <color rgb="FF0000FF"/>
      <name val="Calibri"/>
      <family val="0"/>
    </font>
    <font>
      <sz val="11"/>
      <color theme="1"/>
      <name val="Calibri"/>
      <family val="0"/>
      <charset val="134"/>
    </font>
    <font>
      <b val="true"/>
      <sz val="24"/>
      <color rgb="FFFF0000"/>
      <name val="Calibri"/>
      <family val="0"/>
      <charset val="134"/>
    </font>
    <font>
      <b val="true"/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sz val="11"/>
      <name val="Calibri"/>
      <family val="0"/>
      <charset val="134"/>
    </font>
    <font>
      <b val="true"/>
      <sz val="10"/>
      <name val="Noto Sans CJK SC"/>
      <family val="2"/>
    </font>
    <font>
      <b val="true"/>
      <sz val="11"/>
      <color theme="1"/>
      <name val="Calibri"/>
      <family val="0"/>
      <charset val="134"/>
    </font>
    <font>
      <sz val="11"/>
      <name val="Calibri"/>
      <family val="0"/>
      <charset val="134"/>
    </font>
    <font>
      <b val="true"/>
      <sz val="26"/>
      <name val="Calibri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6"/>
        <bgColor rgb="FFFFCC99"/>
      </patternFill>
    </fill>
    <fill>
      <patternFill patternType="solid">
        <fgColor theme="8" tint="0.6"/>
        <bgColor rgb="FFA8EAE4"/>
      </patternFill>
    </fill>
    <fill>
      <patternFill patternType="solid">
        <fgColor rgb="FFA8EAE4"/>
        <bgColor rgb="FFA9E9E4"/>
      </patternFill>
    </fill>
    <fill>
      <patternFill patternType="solid">
        <fgColor theme="8" tint="0.8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7" fillId="0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27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3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3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3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3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7" fillId="0" borderId="1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7" fillId="0" borderId="1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7" fillId="0" borderId="1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2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0" borderId="17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0" borderId="1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2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0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Sheet1 3 2 2 3" xfId="21"/>
    <cellStyle name="常规_Sheet1 3 2 2 3 3 2 2 2 2" xfId="22"/>
    <cellStyle name="*unknown*" xfId="20" builtinId="8"/>
  </cellStyles>
  <dxfs count="8">
    <dxf>
      <fill>
        <patternFill patternType="solid">
          <fgColor rgb="FFFEE69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E9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A8EAE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4F4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8EAE4"/>
      <rgbColor rgb="FFFEE695"/>
      <rgbColor rgb="FFA9E9E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<Relationship Id="rId27" Type="http://schemas.openxmlformats.org/officeDocument/2006/relationships/image" Target="../media/image1.png"/><Relationship Id="rId28" Type="http://schemas.openxmlformats.org/officeDocument/2006/relationships/image" Target="../media/image1.png"/><Relationship Id="rId29" Type="http://schemas.openxmlformats.org/officeDocument/2006/relationships/image" Target="../media/image1.png"/><Relationship Id="rId30" Type="http://schemas.openxmlformats.org/officeDocument/2006/relationships/image" Target="../media/image1.png"/><Relationship Id="rId31" Type="http://schemas.openxmlformats.org/officeDocument/2006/relationships/image" Target="../media/image1.png"/><Relationship Id="rId32" Type="http://schemas.openxmlformats.org/officeDocument/2006/relationships/image" Target="../media/image1.png"/><Relationship Id="rId33" Type="http://schemas.openxmlformats.org/officeDocument/2006/relationships/image" Target="../media/image1.png"/><Relationship Id="rId34" Type="http://schemas.openxmlformats.org/officeDocument/2006/relationships/image" Target="../media/image1.png"/><Relationship Id="rId35" Type="http://schemas.openxmlformats.org/officeDocument/2006/relationships/image" Target="../media/image1.png"/><Relationship Id="rId36" Type="http://schemas.openxmlformats.org/officeDocument/2006/relationships/image" Target="../media/image1.png"/><Relationship Id="rId37" Type="http://schemas.openxmlformats.org/officeDocument/2006/relationships/image" Target="../media/image1.png"/><Relationship Id="rId38" Type="http://schemas.openxmlformats.org/officeDocument/2006/relationships/image" Target="../media/image1.png"/><Relationship Id="rId39" Type="http://schemas.openxmlformats.org/officeDocument/2006/relationships/image" Target="../media/image1.png"/><Relationship Id="rId40" Type="http://schemas.openxmlformats.org/officeDocument/2006/relationships/image" Target="../media/image1.png"/><Relationship Id="rId41" Type="http://schemas.openxmlformats.org/officeDocument/2006/relationships/image" Target="../media/image1.png"/><Relationship Id="rId42" Type="http://schemas.openxmlformats.org/officeDocument/2006/relationships/image" Target="../media/image1.png"/><Relationship Id="rId43" Type="http://schemas.openxmlformats.org/officeDocument/2006/relationships/image" Target="../media/image1.png"/><Relationship Id="rId44" Type="http://schemas.openxmlformats.org/officeDocument/2006/relationships/image" Target="../media/image1.png"/><Relationship Id="rId45" Type="http://schemas.openxmlformats.org/officeDocument/2006/relationships/image" Target="../media/image1.png"/><Relationship Id="rId46" Type="http://schemas.openxmlformats.org/officeDocument/2006/relationships/image" Target="../media/image1.png"/><Relationship Id="rId47" Type="http://schemas.openxmlformats.org/officeDocument/2006/relationships/image" Target="../media/image1.png"/><Relationship Id="rId48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38880</xdr:colOff>
      <xdr:row>0</xdr:row>
      <xdr:rowOff>41760</xdr:rowOff>
    </xdr:from>
    <xdr:to>
      <xdr:col>0</xdr:col>
      <xdr:colOff>1083600</xdr:colOff>
      <xdr:row>1</xdr:row>
      <xdr:rowOff>411480</xdr:rowOff>
    </xdr:to>
    <xdr:pic>
      <xdr:nvPicPr>
        <xdr:cNvPr id="1" name="图片 2"/>
        <xdr:cNvPicPr/>
      </xdr:nvPicPr>
      <xdr:blipFill>
        <a:blip r:embed="rId1"/>
        <a:srcRect l="19269" t="32105" r="22127" b="22498"/>
        <a:stretch/>
      </xdr:blipFill>
      <xdr:spPr>
        <a:xfrm>
          <a:off x="38880" y="417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41760</xdr:rowOff>
    </xdr:from>
    <xdr:to>
      <xdr:col>0</xdr:col>
      <xdr:colOff>1083600</xdr:colOff>
      <xdr:row>1</xdr:row>
      <xdr:rowOff>411480</xdr:rowOff>
    </xdr:to>
    <xdr:pic>
      <xdr:nvPicPr>
        <xdr:cNvPr id="2" name="图片 1"/>
        <xdr:cNvPicPr/>
      </xdr:nvPicPr>
      <xdr:blipFill>
        <a:blip r:embed="rId2"/>
        <a:srcRect l="19269" t="32105" r="22127" b="22498"/>
        <a:stretch/>
      </xdr:blipFill>
      <xdr:spPr>
        <a:xfrm>
          <a:off x="38880" y="417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130320</xdr:colOff>
      <xdr:row>0</xdr:row>
      <xdr:rowOff>59040</xdr:rowOff>
    </xdr:from>
    <xdr:to>
      <xdr:col>0</xdr:col>
      <xdr:colOff>1234800</xdr:colOff>
      <xdr:row>1</xdr:row>
      <xdr:rowOff>318240</xdr:rowOff>
    </xdr:to>
    <xdr:pic>
      <xdr:nvPicPr>
        <xdr:cNvPr id="3" name="图片 2"/>
        <xdr:cNvPicPr/>
      </xdr:nvPicPr>
      <xdr:blipFill>
        <a:blip r:embed="rId1"/>
        <a:srcRect l="19269" t="32105" r="22127" b="22498"/>
        <a:stretch/>
      </xdr:blipFill>
      <xdr:spPr>
        <a:xfrm>
          <a:off x="130320" y="59040"/>
          <a:ext cx="1104480" cy="48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130320</xdr:colOff>
      <xdr:row>0</xdr:row>
      <xdr:rowOff>59040</xdr:rowOff>
    </xdr:from>
    <xdr:to>
      <xdr:col>0</xdr:col>
      <xdr:colOff>1234800</xdr:colOff>
      <xdr:row>1</xdr:row>
      <xdr:rowOff>318240</xdr:rowOff>
    </xdr:to>
    <xdr:pic>
      <xdr:nvPicPr>
        <xdr:cNvPr id="4" name="图片 1"/>
        <xdr:cNvPicPr/>
      </xdr:nvPicPr>
      <xdr:blipFill>
        <a:blip r:embed="rId2"/>
        <a:srcRect l="19269" t="32105" r="22127" b="22498"/>
        <a:stretch/>
      </xdr:blipFill>
      <xdr:spPr>
        <a:xfrm>
          <a:off x="130320" y="59040"/>
          <a:ext cx="1104480" cy="480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5" name="图片 1"/>
        <xdr:cNvPicPr/>
      </xdr:nvPicPr>
      <xdr:blipFill>
        <a:blip r:embed="rId1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6" name="图片 2"/>
        <xdr:cNvPicPr/>
      </xdr:nvPicPr>
      <xdr:blipFill>
        <a:blip r:embed="rId2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7" name="图片 3"/>
        <xdr:cNvPicPr/>
      </xdr:nvPicPr>
      <xdr:blipFill>
        <a:blip r:embed="rId3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8" name="图片 4"/>
        <xdr:cNvPicPr/>
      </xdr:nvPicPr>
      <xdr:blipFill>
        <a:blip r:embed="rId4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9" name="图片 5"/>
        <xdr:cNvPicPr/>
      </xdr:nvPicPr>
      <xdr:blipFill>
        <a:blip r:embed="rId5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0" name="图片 6"/>
        <xdr:cNvPicPr/>
      </xdr:nvPicPr>
      <xdr:blipFill>
        <a:blip r:embed="rId6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1" name="图片 7"/>
        <xdr:cNvPicPr/>
      </xdr:nvPicPr>
      <xdr:blipFill>
        <a:blip r:embed="rId7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2" name="图片 8"/>
        <xdr:cNvPicPr/>
      </xdr:nvPicPr>
      <xdr:blipFill>
        <a:blip r:embed="rId8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3" name="图片 9"/>
        <xdr:cNvPicPr/>
      </xdr:nvPicPr>
      <xdr:blipFill>
        <a:blip r:embed="rId9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4" name="图片 10"/>
        <xdr:cNvPicPr/>
      </xdr:nvPicPr>
      <xdr:blipFill>
        <a:blip r:embed="rId10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5" name="图片 11"/>
        <xdr:cNvPicPr/>
      </xdr:nvPicPr>
      <xdr:blipFill>
        <a:blip r:embed="rId11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6" name="图片 12"/>
        <xdr:cNvPicPr/>
      </xdr:nvPicPr>
      <xdr:blipFill>
        <a:blip r:embed="rId12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7" name="图片 13"/>
        <xdr:cNvPicPr/>
      </xdr:nvPicPr>
      <xdr:blipFill>
        <a:blip r:embed="rId13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8" name="图片 14"/>
        <xdr:cNvPicPr/>
      </xdr:nvPicPr>
      <xdr:blipFill>
        <a:blip r:embed="rId14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19" name="图片 15"/>
        <xdr:cNvPicPr/>
      </xdr:nvPicPr>
      <xdr:blipFill>
        <a:blip r:embed="rId15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0" name="图片 16"/>
        <xdr:cNvPicPr/>
      </xdr:nvPicPr>
      <xdr:blipFill>
        <a:blip r:embed="rId16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1" name="图片 17"/>
        <xdr:cNvPicPr/>
      </xdr:nvPicPr>
      <xdr:blipFill>
        <a:blip r:embed="rId17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2" name="图片 18"/>
        <xdr:cNvPicPr/>
      </xdr:nvPicPr>
      <xdr:blipFill>
        <a:blip r:embed="rId18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3" name="图片 19"/>
        <xdr:cNvPicPr/>
      </xdr:nvPicPr>
      <xdr:blipFill>
        <a:blip r:embed="rId19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4" name="图片 20"/>
        <xdr:cNvPicPr/>
      </xdr:nvPicPr>
      <xdr:blipFill>
        <a:blip r:embed="rId20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5" name="图片 21"/>
        <xdr:cNvPicPr/>
      </xdr:nvPicPr>
      <xdr:blipFill>
        <a:blip r:embed="rId21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6" name="图片 22"/>
        <xdr:cNvPicPr/>
      </xdr:nvPicPr>
      <xdr:blipFill>
        <a:blip r:embed="rId22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7" name="图片 23"/>
        <xdr:cNvPicPr/>
      </xdr:nvPicPr>
      <xdr:blipFill>
        <a:blip r:embed="rId23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8" name="图片 24"/>
        <xdr:cNvPicPr/>
      </xdr:nvPicPr>
      <xdr:blipFill>
        <a:blip r:embed="rId24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29" name="图片 25"/>
        <xdr:cNvPicPr/>
      </xdr:nvPicPr>
      <xdr:blipFill>
        <a:blip r:embed="rId25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0" name="图片 26"/>
        <xdr:cNvPicPr/>
      </xdr:nvPicPr>
      <xdr:blipFill>
        <a:blip r:embed="rId26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1" name="图片 27"/>
        <xdr:cNvPicPr/>
      </xdr:nvPicPr>
      <xdr:blipFill>
        <a:blip r:embed="rId27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2" name="图片 28"/>
        <xdr:cNvPicPr/>
      </xdr:nvPicPr>
      <xdr:blipFill>
        <a:blip r:embed="rId28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3" name="图片 29"/>
        <xdr:cNvPicPr/>
      </xdr:nvPicPr>
      <xdr:blipFill>
        <a:blip r:embed="rId29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4" name="图片 30"/>
        <xdr:cNvPicPr/>
      </xdr:nvPicPr>
      <xdr:blipFill>
        <a:blip r:embed="rId30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5" name="图片 31"/>
        <xdr:cNvPicPr/>
      </xdr:nvPicPr>
      <xdr:blipFill>
        <a:blip r:embed="rId31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6" name="图片 32"/>
        <xdr:cNvPicPr/>
      </xdr:nvPicPr>
      <xdr:blipFill>
        <a:blip r:embed="rId32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7" name="图片 33"/>
        <xdr:cNvPicPr/>
      </xdr:nvPicPr>
      <xdr:blipFill>
        <a:blip r:embed="rId33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8" name="图片 34"/>
        <xdr:cNvPicPr/>
      </xdr:nvPicPr>
      <xdr:blipFill>
        <a:blip r:embed="rId34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39" name="图片 35"/>
        <xdr:cNvPicPr/>
      </xdr:nvPicPr>
      <xdr:blipFill>
        <a:blip r:embed="rId35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0" name="图片 36"/>
        <xdr:cNvPicPr/>
      </xdr:nvPicPr>
      <xdr:blipFill>
        <a:blip r:embed="rId36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1" name="图片 37"/>
        <xdr:cNvPicPr/>
      </xdr:nvPicPr>
      <xdr:blipFill>
        <a:blip r:embed="rId37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2" name="图片 38"/>
        <xdr:cNvPicPr/>
      </xdr:nvPicPr>
      <xdr:blipFill>
        <a:blip r:embed="rId38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3" name="图片 39"/>
        <xdr:cNvPicPr/>
      </xdr:nvPicPr>
      <xdr:blipFill>
        <a:blip r:embed="rId39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4" name="图片 40"/>
        <xdr:cNvPicPr/>
      </xdr:nvPicPr>
      <xdr:blipFill>
        <a:blip r:embed="rId40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5" name="图片 41"/>
        <xdr:cNvPicPr/>
      </xdr:nvPicPr>
      <xdr:blipFill>
        <a:blip r:embed="rId41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6" name="图片 42"/>
        <xdr:cNvPicPr/>
      </xdr:nvPicPr>
      <xdr:blipFill>
        <a:blip r:embed="rId42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7" name="图片 43"/>
        <xdr:cNvPicPr/>
      </xdr:nvPicPr>
      <xdr:blipFill>
        <a:blip r:embed="rId43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8" name="图片 44"/>
        <xdr:cNvPicPr/>
      </xdr:nvPicPr>
      <xdr:blipFill>
        <a:blip r:embed="rId44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49" name="图片 45"/>
        <xdr:cNvPicPr/>
      </xdr:nvPicPr>
      <xdr:blipFill>
        <a:blip r:embed="rId45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50" name="图片 46"/>
        <xdr:cNvPicPr/>
      </xdr:nvPicPr>
      <xdr:blipFill>
        <a:blip r:embed="rId46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51" name="图片 47"/>
        <xdr:cNvPicPr/>
      </xdr:nvPicPr>
      <xdr:blipFill>
        <a:blip r:embed="rId47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53280</xdr:rowOff>
    </xdr:from>
    <xdr:to>
      <xdr:col>0</xdr:col>
      <xdr:colOff>1299600</xdr:colOff>
      <xdr:row>1</xdr:row>
      <xdr:rowOff>381240</xdr:rowOff>
    </xdr:to>
    <xdr:pic>
      <xdr:nvPicPr>
        <xdr:cNvPr id="52" name="图片 48"/>
        <xdr:cNvPicPr/>
      </xdr:nvPicPr>
      <xdr:blipFill>
        <a:blip r:embed="rId48"/>
        <a:srcRect l="19269" t="32105" r="22127" b="22498"/>
        <a:stretch/>
      </xdr:blipFill>
      <xdr:spPr>
        <a:xfrm>
          <a:off x="38880" y="5328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3" name="图片 1"/>
        <xdr:cNvPicPr/>
      </xdr:nvPicPr>
      <xdr:blipFill>
        <a:blip r:embed="rId1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4" name="图片 2"/>
        <xdr:cNvPicPr/>
      </xdr:nvPicPr>
      <xdr:blipFill>
        <a:blip r:embed="rId2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5" name="图片 3"/>
        <xdr:cNvPicPr/>
      </xdr:nvPicPr>
      <xdr:blipFill>
        <a:blip r:embed="rId3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6" name="图片 4"/>
        <xdr:cNvPicPr/>
      </xdr:nvPicPr>
      <xdr:blipFill>
        <a:blip r:embed="rId4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7" name="图片 5"/>
        <xdr:cNvPicPr/>
      </xdr:nvPicPr>
      <xdr:blipFill>
        <a:blip r:embed="rId5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8" name="图片 6"/>
        <xdr:cNvPicPr/>
      </xdr:nvPicPr>
      <xdr:blipFill>
        <a:blip r:embed="rId6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59" name="图片 7"/>
        <xdr:cNvPicPr/>
      </xdr:nvPicPr>
      <xdr:blipFill>
        <a:blip r:embed="rId7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11</xdr:row>
      <xdr:rowOff>33120</xdr:rowOff>
    </xdr:from>
    <xdr:to>
      <xdr:col>0</xdr:col>
      <xdr:colOff>1156680</xdr:colOff>
      <xdr:row>13</xdr:row>
      <xdr:rowOff>82440</xdr:rowOff>
    </xdr:to>
    <xdr:pic>
      <xdr:nvPicPr>
        <xdr:cNvPr id="60" name="图片 8"/>
        <xdr:cNvPicPr/>
      </xdr:nvPicPr>
      <xdr:blipFill>
        <a:blip r:embed="rId8"/>
        <a:srcRect l="19269" t="32105" r="22127" b="22498"/>
        <a:stretch/>
      </xdr:blipFill>
      <xdr:spPr>
        <a:xfrm>
          <a:off x="64800" y="46576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1" name="图片 9"/>
        <xdr:cNvPicPr/>
      </xdr:nvPicPr>
      <xdr:blipFill>
        <a:blip r:embed="rId9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2" name="图片 10"/>
        <xdr:cNvPicPr/>
      </xdr:nvPicPr>
      <xdr:blipFill>
        <a:blip r:embed="rId10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3" name="图片 11"/>
        <xdr:cNvPicPr/>
      </xdr:nvPicPr>
      <xdr:blipFill>
        <a:blip r:embed="rId11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4" name="图片 12"/>
        <xdr:cNvPicPr/>
      </xdr:nvPicPr>
      <xdr:blipFill>
        <a:blip r:embed="rId12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5" name="图片 13"/>
        <xdr:cNvPicPr/>
      </xdr:nvPicPr>
      <xdr:blipFill>
        <a:blip r:embed="rId13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6" name="图片 14"/>
        <xdr:cNvPicPr/>
      </xdr:nvPicPr>
      <xdr:blipFill>
        <a:blip r:embed="rId14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7" name="图片 15"/>
        <xdr:cNvPicPr/>
      </xdr:nvPicPr>
      <xdr:blipFill>
        <a:blip r:embed="rId15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64800</xdr:colOff>
      <xdr:row>0</xdr:row>
      <xdr:rowOff>0</xdr:rowOff>
    </xdr:from>
    <xdr:to>
      <xdr:col>0</xdr:col>
      <xdr:colOff>1156680</xdr:colOff>
      <xdr:row>2</xdr:row>
      <xdr:rowOff>33840</xdr:rowOff>
    </xdr:to>
    <xdr:pic>
      <xdr:nvPicPr>
        <xdr:cNvPr id="68" name="图片 16"/>
        <xdr:cNvPicPr/>
      </xdr:nvPicPr>
      <xdr:blipFill>
        <a:blip r:embed="rId16"/>
        <a:srcRect l="19269" t="32105" r="22127" b="22498"/>
        <a:stretch/>
      </xdr:blipFill>
      <xdr:spPr>
        <a:xfrm>
          <a:off x="6480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69" name="图片 1"/>
        <xdr:cNvPicPr/>
      </xdr:nvPicPr>
      <xdr:blipFill>
        <a:blip r:embed="rId1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70" name="图片 2"/>
        <xdr:cNvPicPr/>
      </xdr:nvPicPr>
      <xdr:blipFill>
        <a:blip r:embed="rId2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71" name="图片 3"/>
        <xdr:cNvPicPr/>
      </xdr:nvPicPr>
      <xdr:blipFill>
        <a:blip r:embed="rId3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72" name="图片 4"/>
        <xdr:cNvPicPr/>
      </xdr:nvPicPr>
      <xdr:blipFill>
        <a:blip r:embed="rId4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73" name="图片 5"/>
        <xdr:cNvPicPr/>
      </xdr:nvPicPr>
      <xdr:blipFill>
        <a:blip r:embed="rId5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74" name="图片 6"/>
        <xdr:cNvPicPr/>
      </xdr:nvPicPr>
      <xdr:blipFill>
        <a:blip r:embed="rId6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75" name="图片 7"/>
        <xdr:cNvPicPr/>
      </xdr:nvPicPr>
      <xdr:blipFill>
        <a:blip r:embed="rId7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76" name="图片 8"/>
        <xdr:cNvPicPr/>
      </xdr:nvPicPr>
      <xdr:blipFill>
        <a:blip r:embed="rId8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77" name="图片 9"/>
        <xdr:cNvPicPr/>
      </xdr:nvPicPr>
      <xdr:blipFill>
        <a:blip r:embed="rId9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78" name="图片 10"/>
        <xdr:cNvPicPr/>
      </xdr:nvPicPr>
      <xdr:blipFill>
        <a:blip r:embed="rId10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7</xdr:row>
      <xdr:rowOff>53280</xdr:rowOff>
    </xdr:from>
    <xdr:to>
      <xdr:col>0</xdr:col>
      <xdr:colOff>1092600</xdr:colOff>
      <xdr:row>10</xdr:row>
      <xdr:rowOff>107280</xdr:rowOff>
    </xdr:to>
    <xdr:pic>
      <xdr:nvPicPr>
        <xdr:cNvPr id="79" name="图片 11"/>
        <xdr:cNvPicPr/>
      </xdr:nvPicPr>
      <xdr:blipFill>
        <a:blip r:embed="rId11"/>
        <a:srcRect l="19269" t="32105" r="22127" b="22498"/>
        <a:stretch/>
      </xdr:blipFill>
      <xdr:spPr>
        <a:xfrm>
          <a:off x="72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53280</xdr:rowOff>
    </xdr:from>
    <xdr:to>
      <xdr:col>0</xdr:col>
      <xdr:colOff>1091880</xdr:colOff>
      <xdr:row>10</xdr:row>
      <xdr:rowOff>107280</xdr:rowOff>
    </xdr:to>
    <xdr:pic>
      <xdr:nvPicPr>
        <xdr:cNvPr id="80" name="图片 12"/>
        <xdr:cNvPicPr/>
      </xdr:nvPicPr>
      <xdr:blipFill>
        <a:blip r:embed="rId12"/>
        <a:srcRect l="19269" t="32105" r="22127" b="22498"/>
        <a:stretch/>
      </xdr:blipFill>
      <xdr:spPr>
        <a:xfrm>
          <a:off x="0" y="2828880"/>
          <a:ext cx="1091880" cy="62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81" name="图片 13"/>
        <xdr:cNvPicPr/>
      </xdr:nvPicPr>
      <xdr:blipFill>
        <a:blip r:embed="rId13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82" name="图片 14"/>
        <xdr:cNvPicPr/>
      </xdr:nvPicPr>
      <xdr:blipFill>
        <a:blip r:embed="rId14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83" name="图片 15"/>
        <xdr:cNvPicPr/>
      </xdr:nvPicPr>
      <xdr:blipFill>
        <a:blip r:embed="rId15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84" name="图片 16"/>
        <xdr:cNvPicPr/>
      </xdr:nvPicPr>
      <xdr:blipFill>
        <a:blip r:embed="rId16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85" name="图片 17"/>
        <xdr:cNvPicPr/>
      </xdr:nvPicPr>
      <xdr:blipFill>
        <a:blip r:embed="rId17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86" name="图片 18"/>
        <xdr:cNvPicPr/>
      </xdr:nvPicPr>
      <xdr:blipFill>
        <a:blip r:embed="rId18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87" name="图片 19"/>
        <xdr:cNvPicPr/>
      </xdr:nvPicPr>
      <xdr:blipFill>
        <a:blip r:embed="rId19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88" name="图片 20"/>
        <xdr:cNvPicPr/>
      </xdr:nvPicPr>
      <xdr:blipFill>
        <a:blip r:embed="rId20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89" name="图片 21"/>
        <xdr:cNvPicPr/>
      </xdr:nvPicPr>
      <xdr:blipFill>
        <a:blip r:embed="rId21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90" name="图片 22"/>
        <xdr:cNvPicPr/>
      </xdr:nvPicPr>
      <xdr:blipFill>
        <a:blip r:embed="rId22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720</xdr:colOff>
      <xdr:row>0</xdr:row>
      <xdr:rowOff>0</xdr:rowOff>
    </xdr:from>
    <xdr:to>
      <xdr:col>0</xdr:col>
      <xdr:colOff>1092600</xdr:colOff>
      <xdr:row>2</xdr:row>
      <xdr:rowOff>33840</xdr:rowOff>
    </xdr:to>
    <xdr:pic>
      <xdr:nvPicPr>
        <xdr:cNvPr id="91" name="图片 23"/>
        <xdr:cNvPicPr/>
      </xdr:nvPicPr>
      <xdr:blipFill>
        <a:blip r:embed="rId23"/>
        <a:srcRect l="19269" t="32105" r="22127" b="22498"/>
        <a:stretch/>
      </xdr:blipFill>
      <xdr:spPr>
        <a:xfrm>
          <a:off x="72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1091880</xdr:colOff>
      <xdr:row>2</xdr:row>
      <xdr:rowOff>33840</xdr:rowOff>
    </xdr:to>
    <xdr:pic>
      <xdr:nvPicPr>
        <xdr:cNvPr id="92" name="图片 24"/>
        <xdr:cNvPicPr/>
      </xdr:nvPicPr>
      <xdr:blipFill>
        <a:blip r:embed="rId24"/>
        <a:srcRect l="19269" t="32105" r="22127" b="22498"/>
        <a:stretch/>
      </xdr:blipFill>
      <xdr:spPr>
        <a:xfrm>
          <a:off x="0" y="0"/>
          <a:ext cx="1091880" cy="622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38880</xdr:colOff>
      <xdr:row>6</xdr:row>
      <xdr:rowOff>255240</xdr:rowOff>
    </xdr:from>
    <xdr:to>
      <xdr:col>0</xdr:col>
      <xdr:colOff>1299600</xdr:colOff>
      <xdr:row>9</xdr:row>
      <xdr:rowOff>69480</xdr:rowOff>
    </xdr:to>
    <xdr:pic>
      <xdr:nvPicPr>
        <xdr:cNvPr id="93" name="图片 1"/>
        <xdr:cNvPicPr/>
      </xdr:nvPicPr>
      <xdr:blipFill>
        <a:blip r:embed="rId1"/>
        <a:srcRect l="19269" t="32105" r="22127" b="22498"/>
        <a:stretch/>
      </xdr:blipFill>
      <xdr:spPr>
        <a:xfrm>
          <a:off x="38880" y="249552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38880</xdr:colOff>
      <xdr:row>0</xdr:row>
      <xdr:rowOff>0</xdr:rowOff>
    </xdr:from>
    <xdr:to>
      <xdr:col>0</xdr:col>
      <xdr:colOff>1299600</xdr:colOff>
      <xdr:row>1</xdr:row>
      <xdr:rowOff>327960</xdr:rowOff>
    </xdr:to>
    <xdr:pic>
      <xdr:nvPicPr>
        <xdr:cNvPr id="94" name="图片 2"/>
        <xdr:cNvPicPr/>
      </xdr:nvPicPr>
      <xdr:blipFill>
        <a:blip r:embed="rId2"/>
        <a:srcRect l="19269" t="32105" r="22127" b="22498"/>
        <a:stretch/>
      </xdr:blipFill>
      <xdr:spPr>
        <a:xfrm>
          <a:off x="38880" y="0"/>
          <a:ext cx="1260720" cy="54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95" name="图片 2"/>
        <xdr:cNvPicPr/>
      </xdr:nvPicPr>
      <xdr:blipFill>
        <a:blip r:embed="rId1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96" name="图片 1"/>
        <xdr:cNvPicPr/>
      </xdr:nvPicPr>
      <xdr:blipFill>
        <a:blip r:embed="rId2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97" name="图片 3"/>
        <xdr:cNvPicPr/>
      </xdr:nvPicPr>
      <xdr:blipFill>
        <a:blip r:embed="rId3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98" name="图片 4"/>
        <xdr:cNvPicPr/>
      </xdr:nvPicPr>
      <xdr:blipFill>
        <a:blip r:embed="rId4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99" name="图片 5"/>
        <xdr:cNvPicPr/>
      </xdr:nvPicPr>
      <xdr:blipFill>
        <a:blip r:embed="rId5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0" name="图片 6"/>
        <xdr:cNvPicPr/>
      </xdr:nvPicPr>
      <xdr:blipFill>
        <a:blip r:embed="rId6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1" name="图片 7"/>
        <xdr:cNvPicPr/>
      </xdr:nvPicPr>
      <xdr:blipFill>
        <a:blip r:embed="rId7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2" name="图片 8"/>
        <xdr:cNvPicPr/>
      </xdr:nvPicPr>
      <xdr:blipFill>
        <a:blip r:embed="rId8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3" name="图片 9"/>
        <xdr:cNvPicPr/>
      </xdr:nvPicPr>
      <xdr:blipFill>
        <a:blip r:embed="rId9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4" name="图片 10"/>
        <xdr:cNvPicPr/>
      </xdr:nvPicPr>
      <xdr:blipFill>
        <a:blip r:embed="rId10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5" name="图片 11"/>
        <xdr:cNvPicPr/>
      </xdr:nvPicPr>
      <xdr:blipFill>
        <a:blip r:embed="rId11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3</xdr:row>
      <xdr:rowOff>468720</xdr:rowOff>
    </xdr:from>
    <xdr:to>
      <xdr:col>0</xdr:col>
      <xdr:colOff>1082160</xdr:colOff>
      <xdr:row>6</xdr:row>
      <xdr:rowOff>111960</xdr:rowOff>
    </xdr:to>
    <xdr:pic>
      <xdr:nvPicPr>
        <xdr:cNvPr id="106" name="图片 12"/>
        <xdr:cNvPicPr/>
      </xdr:nvPicPr>
      <xdr:blipFill>
        <a:blip r:embed="rId12"/>
        <a:srcRect l="19269" t="32105" r="22127" b="22498"/>
        <a:stretch/>
      </xdr:blipFill>
      <xdr:spPr>
        <a:xfrm>
          <a:off x="37440" y="1776240"/>
          <a:ext cx="1044720" cy="59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07" name="图片 13"/>
        <xdr:cNvPicPr/>
      </xdr:nvPicPr>
      <xdr:blipFill>
        <a:blip r:embed="rId13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08" name="图片 14"/>
        <xdr:cNvPicPr/>
      </xdr:nvPicPr>
      <xdr:blipFill>
        <a:blip r:embed="rId14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09" name="图片 15"/>
        <xdr:cNvPicPr/>
      </xdr:nvPicPr>
      <xdr:blipFill>
        <a:blip r:embed="rId15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0" name="图片 16"/>
        <xdr:cNvPicPr/>
      </xdr:nvPicPr>
      <xdr:blipFill>
        <a:blip r:embed="rId16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1" name="图片 17"/>
        <xdr:cNvPicPr/>
      </xdr:nvPicPr>
      <xdr:blipFill>
        <a:blip r:embed="rId17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2" name="图片 18"/>
        <xdr:cNvPicPr/>
      </xdr:nvPicPr>
      <xdr:blipFill>
        <a:blip r:embed="rId18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3" name="图片 19"/>
        <xdr:cNvPicPr/>
      </xdr:nvPicPr>
      <xdr:blipFill>
        <a:blip r:embed="rId19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4" name="图片 20"/>
        <xdr:cNvPicPr/>
      </xdr:nvPicPr>
      <xdr:blipFill>
        <a:blip r:embed="rId20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5" name="图片 21"/>
        <xdr:cNvPicPr/>
      </xdr:nvPicPr>
      <xdr:blipFill>
        <a:blip r:embed="rId21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6" name="图片 22"/>
        <xdr:cNvPicPr/>
      </xdr:nvPicPr>
      <xdr:blipFill>
        <a:blip r:embed="rId22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7" name="图片 23"/>
        <xdr:cNvPicPr/>
      </xdr:nvPicPr>
      <xdr:blipFill>
        <a:blip r:embed="rId23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37440</xdr:colOff>
      <xdr:row>0</xdr:row>
      <xdr:rowOff>61560</xdr:rowOff>
    </xdr:from>
    <xdr:to>
      <xdr:col>0</xdr:col>
      <xdr:colOff>1082160</xdr:colOff>
      <xdr:row>2</xdr:row>
      <xdr:rowOff>64440</xdr:rowOff>
    </xdr:to>
    <xdr:pic>
      <xdr:nvPicPr>
        <xdr:cNvPr id="118" name="图片 24"/>
        <xdr:cNvPicPr/>
      </xdr:nvPicPr>
      <xdr:blipFill>
        <a:blip r:embed="rId24"/>
        <a:srcRect l="19269" t="32105" r="22127" b="22498"/>
        <a:stretch/>
      </xdr:blipFill>
      <xdr:spPr>
        <a:xfrm>
          <a:off x="37440" y="6156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1044720</xdr:colOff>
      <xdr:row>2</xdr:row>
      <xdr:rowOff>2880</xdr:rowOff>
    </xdr:to>
    <xdr:pic>
      <xdr:nvPicPr>
        <xdr:cNvPr id="119" name="图片 25"/>
        <xdr:cNvPicPr/>
      </xdr:nvPicPr>
      <xdr:blipFill>
        <a:blip r:embed="rId25"/>
        <a:srcRect l="19269" t="32105" r="22127" b="22498"/>
        <a:stretch/>
      </xdr:blipFill>
      <xdr:spPr>
        <a:xfrm>
          <a:off x="0" y="0"/>
          <a:ext cx="1044720" cy="591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133920</xdr:colOff>
      <xdr:row>3</xdr:row>
      <xdr:rowOff>178200</xdr:rowOff>
    </xdr:from>
    <xdr:to>
      <xdr:col>0</xdr:col>
      <xdr:colOff>1190160</xdr:colOff>
      <xdr:row>5</xdr:row>
      <xdr:rowOff>275760</xdr:rowOff>
    </xdr:to>
    <xdr:pic>
      <xdr:nvPicPr>
        <xdr:cNvPr id="120" name="图片 1"/>
        <xdr:cNvPicPr/>
      </xdr:nvPicPr>
      <xdr:blipFill>
        <a:blip r:embed="rId1"/>
        <a:srcRect l="19269" t="32105" r="22127" b="22498"/>
        <a:stretch/>
      </xdr:blipFill>
      <xdr:spPr>
        <a:xfrm>
          <a:off x="133920" y="1314360"/>
          <a:ext cx="1056240" cy="44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133920</xdr:colOff>
      <xdr:row>0</xdr:row>
      <xdr:rowOff>9360</xdr:rowOff>
    </xdr:from>
    <xdr:to>
      <xdr:col>0</xdr:col>
      <xdr:colOff>1190160</xdr:colOff>
      <xdr:row>1</xdr:row>
      <xdr:rowOff>236160</xdr:rowOff>
    </xdr:to>
    <xdr:pic>
      <xdr:nvPicPr>
        <xdr:cNvPr id="121" name="图片 2"/>
        <xdr:cNvPicPr/>
      </xdr:nvPicPr>
      <xdr:blipFill>
        <a:blip r:embed="rId2"/>
        <a:srcRect l="19269" t="32105" r="22127" b="22498"/>
        <a:stretch/>
      </xdr:blipFill>
      <xdr:spPr>
        <a:xfrm>
          <a:off x="133920" y="9360"/>
          <a:ext cx="1056240" cy="448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141480</xdr:colOff>
      <xdr:row>4</xdr:row>
      <xdr:rowOff>473400</xdr:rowOff>
    </xdr:from>
    <xdr:to>
      <xdr:col>0</xdr:col>
      <xdr:colOff>1197720</xdr:colOff>
      <xdr:row>7</xdr:row>
      <xdr:rowOff>27720</xdr:rowOff>
    </xdr:to>
    <xdr:pic>
      <xdr:nvPicPr>
        <xdr:cNvPr id="122" name="图片 1"/>
        <xdr:cNvPicPr/>
      </xdr:nvPicPr>
      <xdr:blipFill>
        <a:blip r:embed="rId1"/>
        <a:srcRect l="19269" t="32105" r="22127" b="22498"/>
        <a:stretch/>
      </xdr:blipFill>
      <xdr:spPr>
        <a:xfrm>
          <a:off x="141480" y="1796040"/>
          <a:ext cx="1056240" cy="44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141480</xdr:colOff>
      <xdr:row>0</xdr:row>
      <xdr:rowOff>81360</xdr:rowOff>
    </xdr:from>
    <xdr:to>
      <xdr:col>0</xdr:col>
      <xdr:colOff>1197720</xdr:colOff>
      <xdr:row>1</xdr:row>
      <xdr:rowOff>308160</xdr:rowOff>
    </xdr:to>
    <xdr:pic>
      <xdr:nvPicPr>
        <xdr:cNvPr id="123" name="图片 2"/>
        <xdr:cNvPicPr/>
      </xdr:nvPicPr>
      <xdr:blipFill>
        <a:blip r:embed="rId2"/>
        <a:srcRect l="19269" t="32105" r="22127" b="22498"/>
        <a:stretch/>
      </xdr:blipFill>
      <xdr:spPr>
        <a:xfrm>
          <a:off x="141480" y="81360"/>
          <a:ext cx="1056240" cy="448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</xdr:colOff>
      <xdr:row>0</xdr:row>
      <xdr:rowOff>86400</xdr:rowOff>
    </xdr:from>
    <xdr:to>
      <xdr:col>1</xdr:col>
      <xdr:colOff>175680</xdr:colOff>
      <xdr:row>0</xdr:row>
      <xdr:rowOff>636120</xdr:rowOff>
    </xdr:to>
    <xdr:pic>
      <xdr:nvPicPr>
        <xdr:cNvPr id="124" name="图片 1"/>
        <xdr:cNvPicPr/>
      </xdr:nvPicPr>
      <xdr:blipFill>
        <a:blip r:embed="rId1"/>
        <a:srcRect l="19269" t="32105" r="22127" b="22498"/>
        <a:stretch/>
      </xdr:blipFill>
      <xdr:spPr>
        <a:xfrm>
          <a:off x="720" y="86400"/>
          <a:ext cx="1315440" cy="54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474120</xdr:colOff>
      <xdr:row>0</xdr:row>
      <xdr:rowOff>559800</xdr:rowOff>
    </xdr:to>
    <xdr:pic>
      <xdr:nvPicPr>
        <xdr:cNvPr id="125" name="图片 1"/>
        <xdr:cNvPicPr/>
      </xdr:nvPicPr>
      <xdr:blipFill>
        <a:blip r:embed="rId1"/>
        <a:srcRect l="19269" t="32105" r="22127" b="22498"/>
        <a:stretch/>
      </xdr:blipFill>
      <xdr:spPr>
        <a:xfrm>
          <a:off x="0" y="0"/>
          <a:ext cx="1194120" cy="559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15.86"/>
    <col collapsed="false" customWidth="true" hidden="false" outlineLevel="0" max="3" min="3" style="1" width="7.13"/>
    <col collapsed="false" customWidth="true" hidden="false" outlineLevel="0" max="4" min="4" style="1" width="5.12"/>
    <col collapsed="false" customWidth="true" hidden="false" outlineLevel="0" max="5" min="5" style="1" width="7.13"/>
    <col collapsed="false" customWidth="true" hidden="false" outlineLevel="0" max="6" min="6" style="1" width="5.12"/>
    <col collapsed="false" customWidth="true" hidden="false" outlineLevel="0" max="7" min="7" style="0" width="28.07"/>
    <col collapsed="false" customWidth="true" hidden="false" outlineLevel="0" max="8" min="8" style="0" width="24.81"/>
    <col collapsed="false" customWidth="true" hidden="false" outlineLevel="0" max="9" min="9" style="0" width="8.85"/>
    <col collapsed="false" customWidth="true" hidden="false" outlineLevel="0" max="10" min="10" style="0" width="10"/>
    <col collapsed="false" customWidth="true" hidden="false" outlineLevel="0" max="11" min="11" style="0" width="6.88"/>
    <col collapsed="false" customWidth="true" hidden="false" outlineLevel="0" max="12" min="12" style="0" width="10.26"/>
    <col collapsed="false" customWidth="true" hidden="false" outlineLevel="0" max="13" min="13" style="0" width="7.6"/>
    <col collapsed="false" customWidth="true" hidden="false" outlineLevel="0" max="14" min="14" style="0" width="21.44"/>
    <col collapsed="false" customWidth="true" hidden="false" outlineLevel="0" max="15" min="15" style="0" width="21.24"/>
  </cols>
  <sheetData>
    <row r="1" customFormat="false" ht="17.45" hidden="false" customHeight="true" outlineLevel="0" collapsed="false">
      <c r="A1" s="2" t="s">
        <v>0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10</v>
      </c>
      <c r="N1" s="5" t="s">
        <v>11</v>
      </c>
      <c r="O1" s="6" t="s">
        <v>12</v>
      </c>
    </row>
    <row r="2" customFormat="false" ht="42.75" hidden="false" customHeight="false" outlineLevel="0" collapsed="false">
      <c r="A2" s="2"/>
      <c r="B2" s="7" t="s">
        <v>13</v>
      </c>
      <c r="C2" s="8" t="n">
        <v>1150</v>
      </c>
      <c r="D2" s="8"/>
      <c r="E2" s="8" t="n">
        <v>1650</v>
      </c>
      <c r="F2" s="8"/>
      <c r="G2" s="9" t="s">
        <v>14</v>
      </c>
      <c r="H2" s="10" t="s">
        <v>15</v>
      </c>
      <c r="I2" s="10" t="n">
        <f aca="false">J2-3</f>
        <v>46090</v>
      </c>
      <c r="J2" s="10" t="n">
        <v>46093</v>
      </c>
      <c r="K2" s="11" t="n">
        <v>4</v>
      </c>
      <c r="L2" s="9" t="s">
        <v>16</v>
      </c>
      <c r="M2" s="10" t="n">
        <v>46093</v>
      </c>
      <c r="N2" s="12" t="s">
        <v>17</v>
      </c>
      <c r="O2" s="13" t="s">
        <v>18</v>
      </c>
    </row>
    <row r="3" customFormat="false" ht="42.75" hidden="false" customHeight="false" outlineLevel="0" collapsed="false">
      <c r="A3" s="2"/>
      <c r="B3" s="7" t="s">
        <v>13</v>
      </c>
      <c r="C3" s="8" t="n">
        <v>1150</v>
      </c>
      <c r="D3" s="8"/>
      <c r="E3" s="8" t="n">
        <v>1550</v>
      </c>
      <c r="F3" s="8"/>
      <c r="G3" s="9" t="s">
        <v>19</v>
      </c>
      <c r="H3" s="10" t="s">
        <v>15</v>
      </c>
      <c r="I3" s="10" t="n">
        <f aca="false">J3-3</f>
        <v>46090</v>
      </c>
      <c r="J3" s="10" t="n">
        <v>46093</v>
      </c>
      <c r="K3" s="11" t="n">
        <v>5</v>
      </c>
      <c r="L3" s="9" t="s">
        <v>16</v>
      </c>
      <c r="M3" s="10" t="n">
        <v>46093</v>
      </c>
      <c r="N3" s="12" t="s">
        <v>17</v>
      </c>
      <c r="O3" s="13" t="s">
        <v>20</v>
      </c>
    </row>
    <row r="4" customFormat="false" ht="28.9" hidden="false" customHeight="false" outlineLevel="0" collapsed="false">
      <c r="A4" s="2"/>
      <c r="B4" s="7" t="s">
        <v>21</v>
      </c>
      <c r="C4" s="8" t="n">
        <v>1190</v>
      </c>
      <c r="D4" s="8"/>
      <c r="E4" s="8" t="n">
        <v>1880</v>
      </c>
      <c r="F4" s="8"/>
      <c r="G4" s="9" t="s">
        <v>22</v>
      </c>
      <c r="H4" s="10" t="s">
        <v>23</v>
      </c>
      <c r="I4" s="10" t="n">
        <f aca="false">J4-3</f>
        <v>46066</v>
      </c>
      <c r="J4" s="10" t="n">
        <v>46069</v>
      </c>
      <c r="K4" s="11" t="s">
        <v>24</v>
      </c>
      <c r="L4" s="9" t="s">
        <v>16</v>
      </c>
      <c r="M4" s="10" t="n">
        <v>46069</v>
      </c>
      <c r="N4" s="12" t="s">
        <v>25</v>
      </c>
      <c r="O4" s="13" t="s">
        <v>26</v>
      </c>
    </row>
    <row r="5" customFormat="false" ht="28.9" hidden="false" customHeight="false" outlineLevel="0" collapsed="false">
      <c r="A5" s="2"/>
      <c r="B5" s="14" t="s">
        <v>27</v>
      </c>
      <c r="C5" s="8" t="n">
        <v>1190</v>
      </c>
      <c r="D5" s="8"/>
      <c r="E5" s="8" t="n">
        <v>1880</v>
      </c>
      <c r="F5" s="8"/>
      <c r="G5" s="9" t="s">
        <v>22</v>
      </c>
      <c r="H5" s="10" t="s">
        <v>23</v>
      </c>
      <c r="I5" s="10" t="n">
        <f aca="false">J5-3</f>
        <v>46066</v>
      </c>
      <c r="J5" s="10" t="n">
        <v>46069</v>
      </c>
      <c r="K5" s="11" t="s">
        <v>24</v>
      </c>
      <c r="L5" s="9" t="s">
        <v>16</v>
      </c>
      <c r="M5" s="10" t="n">
        <v>46069</v>
      </c>
      <c r="N5" s="12" t="s">
        <v>25</v>
      </c>
      <c r="O5" s="13" t="s">
        <v>28</v>
      </c>
    </row>
    <row r="6" customFormat="false" ht="42.75" hidden="false" customHeight="false" outlineLevel="0" collapsed="false">
      <c r="A6" s="2"/>
      <c r="B6" s="7" t="s">
        <v>29</v>
      </c>
      <c r="C6" s="8" t="s">
        <v>30</v>
      </c>
      <c r="D6" s="8"/>
      <c r="E6" s="8" t="s">
        <v>30</v>
      </c>
      <c r="F6" s="8"/>
      <c r="G6" s="9" t="s">
        <v>14</v>
      </c>
      <c r="H6" s="10" t="s">
        <v>31</v>
      </c>
      <c r="I6" s="10" t="n">
        <f aca="false">J6-3</f>
        <v>46054</v>
      </c>
      <c r="J6" s="10" t="n">
        <v>46057</v>
      </c>
      <c r="K6" s="11" t="s">
        <v>32</v>
      </c>
      <c r="L6" s="9" t="s">
        <v>16</v>
      </c>
      <c r="M6" s="10" t="n">
        <v>46081</v>
      </c>
      <c r="N6" s="12" t="s">
        <v>33</v>
      </c>
      <c r="O6" s="13" t="s">
        <v>34</v>
      </c>
    </row>
    <row r="7" customFormat="false" ht="42.75" hidden="false" customHeight="false" outlineLevel="0" collapsed="false">
      <c r="A7" s="2"/>
      <c r="B7" s="7" t="s">
        <v>35</v>
      </c>
      <c r="C7" s="8" t="n">
        <v>1290</v>
      </c>
      <c r="D7" s="8"/>
      <c r="E7" s="8" t="n">
        <v>1780</v>
      </c>
      <c r="F7" s="8"/>
      <c r="G7" s="9" t="s">
        <v>22</v>
      </c>
      <c r="H7" s="10" t="s">
        <v>36</v>
      </c>
      <c r="I7" s="10" t="s">
        <v>37</v>
      </c>
      <c r="J7" s="10" t="s">
        <v>38</v>
      </c>
      <c r="K7" s="11" t="s">
        <v>39</v>
      </c>
      <c r="L7" s="9" t="s">
        <v>40</v>
      </c>
      <c r="M7" s="10" t="n">
        <v>46081</v>
      </c>
      <c r="N7" s="12" t="s">
        <v>41</v>
      </c>
      <c r="O7" s="13" t="s">
        <v>42</v>
      </c>
    </row>
    <row r="8" customFormat="false" ht="28.9" hidden="false" customHeight="false" outlineLevel="0" collapsed="false">
      <c r="A8" s="2"/>
      <c r="B8" s="7" t="s">
        <v>43</v>
      </c>
      <c r="C8" s="8" t="n">
        <v>1300</v>
      </c>
      <c r="D8" s="8"/>
      <c r="E8" s="8" t="n">
        <v>1850</v>
      </c>
      <c r="F8" s="8"/>
      <c r="G8" s="9" t="s">
        <v>14</v>
      </c>
      <c r="H8" s="10" t="s">
        <v>44</v>
      </c>
      <c r="I8" s="15" t="s">
        <v>45</v>
      </c>
      <c r="J8" s="15" t="s">
        <v>46</v>
      </c>
      <c r="K8" s="11" t="n">
        <v>4</v>
      </c>
      <c r="L8" s="9" t="s">
        <v>16</v>
      </c>
      <c r="M8" s="10" t="n">
        <v>46075</v>
      </c>
      <c r="N8" s="12" t="s">
        <v>47</v>
      </c>
      <c r="O8" s="13" t="s">
        <v>48</v>
      </c>
    </row>
    <row r="9" customFormat="false" ht="30" hidden="false" customHeight="true" outlineLevel="0" collapsed="false">
      <c r="A9" s="2"/>
      <c r="B9" s="7" t="s">
        <v>49</v>
      </c>
      <c r="C9" s="8" t="s">
        <v>30</v>
      </c>
      <c r="D9" s="8"/>
      <c r="E9" s="8" t="s">
        <v>30</v>
      </c>
      <c r="F9" s="8"/>
      <c r="G9" s="9" t="s">
        <v>50</v>
      </c>
      <c r="H9" s="10" t="s">
        <v>51</v>
      </c>
      <c r="I9" s="10" t="n">
        <f aca="false">J9-3</f>
        <v>46074</v>
      </c>
      <c r="J9" s="10" t="n">
        <v>46077</v>
      </c>
      <c r="K9" s="16" t="s">
        <v>32</v>
      </c>
      <c r="L9" s="9" t="s">
        <v>40</v>
      </c>
      <c r="M9" s="10" t="n">
        <v>46081</v>
      </c>
      <c r="N9" s="12" t="s">
        <v>52</v>
      </c>
      <c r="O9" s="13" t="s">
        <v>53</v>
      </c>
    </row>
    <row r="10" customFormat="false" ht="42.75" hidden="false" customHeight="false" outlineLevel="0" collapsed="false">
      <c r="A10" s="2"/>
      <c r="B10" s="7" t="s">
        <v>54</v>
      </c>
      <c r="C10" s="8" t="n">
        <v>1290</v>
      </c>
      <c r="D10" s="8"/>
      <c r="E10" s="8" t="n">
        <v>1530</v>
      </c>
      <c r="F10" s="8"/>
      <c r="G10" s="12" t="s">
        <v>55</v>
      </c>
      <c r="H10" s="10" t="s">
        <v>56</v>
      </c>
      <c r="I10" s="10" t="s">
        <v>57</v>
      </c>
      <c r="J10" s="10" t="s">
        <v>58</v>
      </c>
      <c r="K10" s="11" t="s">
        <v>24</v>
      </c>
      <c r="L10" s="9" t="s">
        <v>16</v>
      </c>
      <c r="M10" s="10" t="n">
        <v>46096</v>
      </c>
      <c r="N10" s="9" t="s">
        <v>52</v>
      </c>
      <c r="O10" s="13" t="s">
        <v>59</v>
      </c>
    </row>
    <row r="11" customFormat="false" ht="28.9" hidden="false" customHeight="false" outlineLevel="0" collapsed="false">
      <c r="A11" s="2"/>
      <c r="B11" s="7" t="s">
        <v>60</v>
      </c>
      <c r="C11" s="8" t="n">
        <v>1075</v>
      </c>
      <c r="D11" s="8"/>
      <c r="E11" s="8" t="n">
        <v>1400</v>
      </c>
      <c r="F11" s="8"/>
      <c r="G11" s="9" t="s">
        <v>61</v>
      </c>
      <c r="H11" s="10" t="s">
        <v>62</v>
      </c>
      <c r="I11" s="10" t="n">
        <f aca="false">J11-3</f>
        <v>46076</v>
      </c>
      <c r="J11" s="10" t="n">
        <v>46079</v>
      </c>
      <c r="K11" s="11" t="n">
        <v>6</v>
      </c>
      <c r="L11" s="9" t="s">
        <v>16</v>
      </c>
      <c r="M11" s="10" t="n">
        <v>46079</v>
      </c>
      <c r="N11" s="12" t="s">
        <v>63</v>
      </c>
    </row>
    <row r="12" customFormat="false" ht="28.9" hidden="false" customHeight="false" outlineLevel="0" collapsed="false">
      <c r="A12" s="2"/>
      <c r="B12" s="7" t="s">
        <v>64</v>
      </c>
      <c r="C12" s="8" t="n">
        <v>1180</v>
      </c>
      <c r="D12" s="8"/>
      <c r="E12" s="8" t="n">
        <v>1505</v>
      </c>
      <c r="F12" s="8"/>
      <c r="G12" s="9" t="s">
        <v>61</v>
      </c>
      <c r="H12" s="10" t="s">
        <v>65</v>
      </c>
      <c r="I12" s="10" t="n">
        <f aca="false">J12-3</f>
        <v>46081</v>
      </c>
      <c r="J12" s="10" t="n">
        <v>46084</v>
      </c>
      <c r="K12" s="11" t="n">
        <v>6</v>
      </c>
      <c r="L12" s="9" t="s">
        <v>16</v>
      </c>
      <c r="M12" s="10" t="n">
        <v>46084</v>
      </c>
      <c r="N12" s="9" t="s">
        <v>52</v>
      </c>
    </row>
    <row r="13" customFormat="false" ht="28.9" hidden="false" customHeight="false" outlineLevel="0" collapsed="false">
      <c r="A13" s="2"/>
      <c r="B13" s="7" t="s">
        <v>66</v>
      </c>
      <c r="C13" s="8" t="n">
        <v>1000</v>
      </c>
      <c r="D13" s="8"/>
      <c r="E13" s="8" t="n">
        <v>1500</v>
      </c>
      <c r="F13" s="8"/>
      <c r="G13" s="17" t="s">
        <v>67</v>
      </c>
      <c r="H13" s="10" t="s">
        <v>68</v>
      </c>
      <c r="I13" s="10" t="n">
        <f aca="false">J13-3</f>
        <v>46077</v>
      </c>
      <c r="J13" s="10" t="n">
        <v>46080</v>
      </c>
      <c r="K13" s="11" t="n">
        <v>4</v>
      </c>
      <c r="L13" s="9" t="s">
        <v>16</v>
      </c>
      <c r="M13" s="10" t="n">
        <v>46080</v>
      </c>
      <c r="N13" s="9" t="s">
        <v>52</v>
      </c>
    </row>
    <row r="15" customFormat="false" ht="15.05" hidden="false" customHeight="true" outlineLevel="0" collapsed="false">
      <c r="A15" s="2" t="s">
        <v>69</v>
      </c>
      <c r="B15" s="3" t="s">
        <v>1</v>
      </c>
      <c r="C15" s="4" t="s">
        <v>70</v>
      </c>
      <c r="D15" s="4"/>
      <c r="E15" s="4" t="s">
        <v>71</v>
      </c>
      <c r="F15" s="4"/>
      <c r="G15" s="4" t="s">
        <v>4</v>
      </c>
      <c r="H15" s="4" t="s">
        <v>5</v>
      </c>
      <c r="I15" s="4" t="s">
        <v>6</v>
      </c>
      <c r="J15" s="4" t="s">
        <v>7</v>
      </c>
      <c r="K15" s="4" t="s">
        <v>8</v>
      </c>
      <c r="L15" s="4" t="s">
        <v>9</v>
      </c>
      <c r="M15" s="5" t="s">
        <v>10</v>
      </c>
      <c r="N15" s="5" t="s">
        <v>11</v>
      </c>
    </row>
    <row r="16" customFormat="false" ht="42.75" hidden="false" customHeight="false" outlineLevel="0" collapsed="false">
      <c r="A16" s="2"/>
      <c r="B16" s="7" t="s">
        <v>13</v>
      </c>
      <c r="C16" s="8" t="n">
        <v>1190</v>
      </c>
      <c r="D16" s="8" t="s">
        <v>72</v>
      </c>
      <c r="E16" s="8" t="n">
        <v>2120</v>
      </c>
      <c r="F16" s="8" t="s">
        <v>72</v>
      </c>
      <c r="G16" s="9" t="str">
        <f aca="false">G2</f>
        <v>Vladivostok Commercial Port</v>
      </c>
      <c r="H16" s="10" t="str">
        <f aca="false">H2</f>
        <v>HAI SHUN FENG 27
2603N</v>
      </c>
      <c r="I16" s="10" t="n">
        <f aca="false">I2</f>
        <v>46090</v>
      </c>
      <c r="J16" s="10" t="n">
        <f aca="false">J2</f>
        <v>46093</v>
      </c>
      <c r="K16" s="18" t="n">
        <f aca="false">K2</f>
        <v>4</v>
      </c>
      <c r="L16" s="9" t="str">
        <f aca="false">L2</f>
        <v>DIRECT</v>
      </c>
      <c r="M16" s="10" t="n">
        <f aca="false">M2</f>
        <v>46093</v>
      </c>
      <c r="N16" s="12" t="str">
        <f aca="false">N2</f>
        <v>Include DTHC $550/650
Exclude DDF $50/bill
DTHC&amp;DDF PP/CC Available</v>
      </c>
    </row>
    <row r="17" customFormat="false" ht="42.75" hidden="false" customHeight="false" outlineLevel="0" collapsed="false">
      <c r="A17" s="2"/>
      <c r="B17" s="7" t="s">
        <v>13</v>
      </c>
      <c r="C17" s="8" t="n">
        <v>1480</v>
      </c>
      <c r="D17" s="8" t="s">
        <v>72</v>
      </c>
      <c r="E17" s="8" t="n">
        <v>2020</v>
      </c>
      <c r="F17" s="8" t="s">
        <v>72</v>
      </c>
      <c r="G17" s="9" t="str">
        <f aca="false">G3</f>
        <v>VRANGEL BAY</v>
      </c>
      <c r="H17" s="10" t="str">
        <f aca="false">H3</f>
        <v>HAI SHUN FENG 27
2603N</v>
      </c>
      <c r="I17" s="10" t="n">
        <f aca="false">I3</f>
        <v>46090</v>
      </c>
      <c r="J17" s="10" t="n">
        <f aca="false">J3</f>
        <v>46093</v>
      </c>
      <c r="K17" s="18" t="n">
        <f aca="false">K3</f>
        <v>5</v>
      </c>
      <c r="L17" s="9" t="str">
        <f aca="false">L3</f>
        <v>DIRECT</v>
      </c>
      <c r="M17" s="10" t="n">
        <f aca="false">M3</f>
        <v>46093</v>
      </c>
      <c r="N17" s="12" t="str">
        <f aca="false">N3</f>
        <v>Include DTHC $550/650
Exclude DDF $50/bill
DTHC&amp;DDF PP/CC Available</v>
      </c>
    </row>
    <row r="18" customFormat="false" ht="28.9" hidden="false" customHeight="false" outlineLevel="0" collapsed="false">
      <c r="A18" s="2"/>
      <c r="B18" s="7" t="s">
        <v>21</v>
      </c>
      <c r="C18" s="8" t="n">
        <v>1290</v>
      </c>
      <c r="D18" s="8" t="s">
        <v>72</v>
      </c>
      <c r="E18" s="8" t="n">
        <v>1930</v>
      </c>
      <c r="F18" s="8" t="s">
        <v>72</v>
      </c>
      <c r="G18" s="9" t="str">
        <f aca="false">G4</f>
        <v>Vladivostok Commercial / Fish Port</v>
      </c>
      <c r="H18" s="10" t="str">
        <f aca="false">H4</f>
        <v>SURABAYA VOYAGER
9018E</v>
      </c>
      <c r="I18" s="10" t="n">
        <f aca="false">I4</f>
        <v>46066</v>
      </c>
      <c r="J18" s="10" t="n">
        <f aca="false">J4</f>
        <v>46069</v>
      </c>
      <c r="K18" s="18" t="str">
        <f aca="false">K4</f>
        <v>4~5</v>
      </c>
      <c r="L18" s="9" t="str">
        <f aca="false">L4</f>
        <v>DIRECT</v>
      </c>
      <c r="M18" s="10" t="n">
        <f aca="false">M4</f>
        <v>46069</v>
      </c>
      <c r="N18" s="12" t="str">
        <f aca="false">N4</f>
        <v>Include DTHC $550/650
DTHC PP/CC Available</v>
      </c>
    </row>
    <row r="19" customFormat="false" ht="28.9" hidden="false" customHeight="false" outlineLevel="0" collapsed="false">
      <c r="A19" s="2"/>
      <c r="B19" s="14" t="s">
        <v>27</v>
      </c>
      <c r="C19" s="8" t="n">
        <v>1290</v>
      </c>
      <c r="D19" s="8" t="s">
        <v>72</v>
      </c>
      <c r="E19" s="8" t="n">
        <v>1930</v>
      </c>
      <c r="F19" s="8" t="s">
        <v>72</v>
      </c>
      <c r="G19" s="9" t="str">
        <f aca="false">G5</f>
        <v>Vladivostok Commercial / Fish Port</v>
      </c>
      <c r="H19" s="10" t="str">
        <f aca="false">H5</f>
        <v>SURABAYA VOYAGER
9018E</v>
      </c>
      <c r="I19" s="10" t="n">
        <f aca="false">I5</f>
        <v>46066</v>
      </c>
      <c r="J19" s="10" t="n">
        <f aca="false">J5</f>
        <v>46069</v>
      </c>
      <c r="K19" s="18" t="str">
        <f aca="false">K5</f>
        <v>4~5</v>
      </c>
      <c r="L19" s="9" t="str">
        <f aca="false">L5</f>
        <v>DIRECT</v>
      </c>
      <c r="M19" s="10" t="n">
        <f aca="false">M5</f>
        <v>46069</v>
      </c>
      <c r="N19" s="12" t="str">
        <f aca="false">N5</f>
        <v>Include DTHC $550/650
DTHC PP/CC Available</v>
      </c>
    </row>
    <row r="20" customFormat="false" ht="42.75" hidden="false" customHeight="false" outlineLevel="0" collapsed="false">
      <c r="A20" s="2"/>
      <c r="B20" s="7" t="s">
        <v>29</v>
      </c>
      <c r="C20" s="8" t="s">
        <v>30</v>
      </c>
      <c r="D20" s="8" t="s">
        <v>72</v>
      </c>
      <c r="E20" s="8" t="s">
        <v>30</v>
      </c>
      <c r="F20" s="8" t="s">
        <v>73</v>
      </c>
      <c r="G20" s="9" t="str">
        <f aca="false">G6</f>
        <v>Vladivostok Commercial Port</v>
      </c>
      <c r="H20" s="10" t="str">
        <f aca="false">H6</f>
        <v>HAI SHUN FENG 27
2601N</v>
      </c>
      <c r="I20" s="10" t="n">
        <f aca="false">I6</f>
        <v>46054</v>
      </c>
      <c r="J20" s="10" t="n">
        <f aca="false">J6</f>
        <v>46057</v>
      </c>
      <c r="K20" s="18" t="str">
        <f aca="false">K6</f>
        <v>6~7</v>
      </c>
      <c r="L20" s="9" t="str">
        <f aca="false">L6</f>
        <v>DIRECT</v>
      </c>
      <c r="M20" s="10" t="n">
        <f aca="false">M6</f>
        <v>46081</v>
      </c>
      <c r="N20" s="12" t="str">
        <f aca="false">N6</f>
        <v>Include DTHC $400/500
DDF $50/bill
DTHC&amp;DDF PP/CC Available</v>
      </c>
    </row>
    <row r="21" customFormat="false" ht="42.75" hidden="false" customHeight="false" outlineLevel="0" collapsed="false">
      <c r="A21" s="2"/>
      <c r="B21" s="7" t="s">
        <v>35</v>
      </c>
      <c r="C21" s="8" t="n">
        <v>1390</v>
      </c>
      <c r="D21" s="8" t="s">
        <v>72</v>
      </c>
      <c r="E21" s="8" t="n">
        <v>1880</v>
      </c>
      <c r="F21" s="8" t="s">
        <v>72</v>
      </c>
      <c r="G21" s="9" t="str">
        <f aca="false">G7</f>
        <v>Vladivostok Commercial / Fish Port</v>
      </c>
      <c r="H21" s="10" t="s">
        <v>36</v>
      </c>
      <c r="I21" s="10" t="s">
        <v>37</v>
      </c>
      <c r="J21" s="10" t="s">
        <v>38</v>
      </c>
      <c r="K21" s="18" t="str">
        <f aca="false">K7</f>
        <v>8~9</v>
      </c>
      <c r="L21" s="9" t="str">
        <f aca="false">L7</f>
        <v>VIA BUSAN </v>
      </c>
      <c r="M21" s="10" t="n">
        <f aca="false">M7</f>
        <v>46081</v>
      </c>
      <c r="N21" s="12" t="str">
        <f aca="false">N7</f>
        <v>Include DTHC
Exclude DDF $50/bill</v>
      </c>
    </row>
    <row r="22" customFormat="false" ht="28.9" hidden="false" customHeight="false" outlineLevel="0" collapsed="false">
      <c r="A22" s="2"/>
      <c r="B22" s="7" t="s">
        <v>43</v>
      </c>
      <c r="C22" s="8" t="n">
        <v>1530</v>
      </c>
      <c r="D22" s="8" t="s">
        <v>73</v>
      </c>
      <c r="E22" s="8" t="n">
        <v>2250</v>
      </c>
      <c r="F22" s="8" t="s">
        <v>73</v>
      </c>
      <c r="G22" s="9" t="str">
        <f aca="false">G8</f>
        <v>Vladivostok Commercial Port</v>
      </c>
      <c r="H22" s="10" t="str">
        <f aca="false">H8</f>
        <v>FESCO DALNEGORSK HK734N
&amp; FESCO SOFIA HK735N</v>
      </c>
      <c r="I22" s="10" t="str">
        <f aca="false">I8</f>
        <v>2-Mar
&amp; 9-Mar</v>
      </c>
      <c r="J22" s="10" t="str">
        <f aca="false">J8</f>
        <v>5-Mar
&amp; 12-Mar</v>
      </c>
      <c r="K22" s="18" t="n">
        <f aca="false">K8</f>
        <v>4</v>
      </c>
      <c r="L22" s="9" t="str">
        <f aca="false">L8</f>
        <v>DIRECT</v>
      </c>
      <c r="M22" s="10" t="n">
        <f aca="false">M8</f>
        <v>46075</v>
      </c>
      <c r="N22" s="12" t="str">
        <f aca="false">N8</f>
        <v>Include DTHC $350/450
DTHC PP/CC Available</v>
      </c>
    </row>
    <row r="23" customFormat="false" ht="30" hidden="false" customHeight="true" outlineLevel="0" collapsed="false">
      <c r="A23" s="2"/>
      <c r="B23" s="7" t="s">
        <v>49</v>
      </c>
      <c r="C23" s="19" t="n">
        <v>1110</v>
      </c>
      <c r="D23" s="8" t="s">
        <v>72</v>
      </c>
      <c r="E23" s="8" t="n">
        <v>1860</v>
      </c>
      <c r="F23" s="8" t="s">
        <v>72</v>
      </c>
      <c r="G23" s="9" t="str">
        <f aca="false">G9</f>
        <v>Vladivostok Fish Port</v>
      </c>
      <c r="H23" s="10" t="str">
        <f aca="false">H9</f>
        <v>ZIM MOUNT RAINIER 11E</v>
      </c>
      <c r="I23" s="10" t="n">
        <f aca="false">I9</f>
        <v>46074</v>
      </c>
      <c r="J23" s="10" t="n">
        <f aca="false">J9</f>
        <v>46077</v>
      </c>
      <c r="K23" s="16" t="str">
        <f aca="false">K9</f>
        <v>6~7</v>
      </c>
      <c r="L23" s="9" t="str">
        <f aca="false">L9</f>
        <v>VIA BUSAN </v>
      </c>
      <c r="M23" s="20" t="n">
        <f aca="false">M9</f>
        <v>46081</v>
      </c>
      <c r="N23" s="12" t="str">
        <f aca="false">N9</f>
        <v>Include DTHC、DDF</v>
      </c>
    </row>
    <row r="24" customFormat="false" ht="42.75" hidden="false" customHeight="false" outlineLevel="0" collapsed="false">
      <c r="A24" s="2"/>
      <c r="B24" s="7" t="s">
        <v>54</v>
      </c>
      <c r="C24" s="8" t="n">
        <v>1520</v>
      </c>
      <c r="D24" s="8" t="s">
        <v>73</v>
      </c>
      <c r="E24" s="8" t="n">
        <v>1930</v>
      </c>
      <c r="F24" s="8" t="s">
        <v>73</v>
      </c>
      <c r="G24" s="12" t="s">
        <v>55</v>
      </c>
      <c r="H24" s="10" t="s">
        <v>56</v>
      </c>
      <c r="I24" s="10" t="s">
        <v>57</v>
      </c>
      <c r="J24" s="10" t="s">
        <v>58</v>
      </c>
      <c r="K24" s="18" t="str">
        <f aca="false">K10</f>
        <v>4~5</v>
      </c>
      <c r="L24" s="9" t="str">
        <f aca="false">L10</f>
        <v>DIRECT</v>
      </c>
      <c r="M24" s="10" t="n">
        <v>46096</v>
      </c>
      <c r="N24" s="9" t="str">
        <f aca="false">N10</f>
        <v>Include DTHC、DDF</v>
      </c>
    </row>
    <row r="25" customFormat="false" ht="16.25" hidden="false" customHeight="false" outlineLevel="0" collapsed="false">
      <c r="A25" s="2"/>
      <c r="B25" s="7" t="s">
        <v>54</v>
      </c>
      <c r="C25" s="8" t="s">
        <v>30</v>
      </c>
      <c r="D25" s="8" t="s">
        <v>73</v>
      </c>
      <c r="E25" s="8" t="s">
        <v>30</v>
      </c>
      <c r="F25" s="8" t="s">
        <v>73</v>
      </c>
      <c r="G25" s="9" t="s">
        <v>74</v>
      </c>
      <c r="H25" s="10" t="s">
        <v>30</v>
      </c>
      <c r="I25" s="15" t="s">
        <v>30</v>
      </c>
      <c r="J25" s="15" t="s">
        <v>30</v>
      </c>
      <c r="K25" s="18" t="s">
        <v>24</v>
      </c>
      <c r="L25" s="9" t="s">
        <v>16</v>
      </c>
      <c r="M25" s="10" t="n">
        <v>46096</v>
      </c>
      <c r="N25" s="9" t="s">
        <v>52</v>
      </c>
    </row>
    <row r="26" customFormat="false" ht="28.9" hidden="false" customHeight="false" outlineLevel="0" collapsed="false">
      <c r="A26" s="2"/>
      <c r="B26" s="7" t="s">
        <v>60</v>
      </c>
      <c r="C26" s="8" t="s">
        <v>30</v>
      </c>
      <c r="D26" s="8" t="s">
        <v>73</v>
      </c>
      <c r="E26" s="8" t="s">
        <v>30</v>
      </c>
      <c r="F26" s="8" t="s">
        <v>73</v>
      </c>
      <c r="G26" s="9" t="str">
        <f aca="false">G11</f>
        <v>Vostochny</v>
      </c>
      <c r="H26" s="10" t="str">
        <f aca="false">H11</f>
        <v>HT GLORY
2603N</v>
      </c>
      <c r="I26" s="10" t="n">
        <f aca="false">I11</f>
        <v>46076</v>
      </c>
      <c r="J26" s="10" t="n">
        <f aca="false">J11</f>
        <v>46079</v>
      </c>
      <c r="K26" s="18" t="n">
        <v>6</v>
      </c>
      <c r="L26" s="9" t="s">
        <v>16</v>
      </c>
      <c r="M26" s="10" t="n">
        <v>46079</v>
      </c>
      <c r="N26" s="12" t="s">
        <v>63</v>
      </c>
    </row>
    <row r="27" customFormat="false" ht="28.9" hidden="false" customHeight="false" outlineLevel="0" collapsed="false">
      <c r="A27" s="2"/>
      <c r="B27" s="7" t="s">
        <v>64</v>
      </c>
      <c r="C27" s="19" t="n">
        <v>1530</v>
      </c>
      <c r="D27" s="8" t="s">
        <v>72</v>
      </c>
      <c r="E27" s="8" t="n">
        <v>1955</v>
      </c>
      <c r="F27" s="8" t="s">
        <v>72</v>
      </c>
      <c r="G27" s="9" t="str">
        <f aca="false">G12</f>
        <v>Vostochny</v>
      </c>
      <c r="H27" s="10" t="str">
        <f aca="false">H12</f>
        <v>BELLE ARIES
2607N</v>
      </c>
      <c r="I27" s="10" t="n">
        <f aca="false">I12</f>
        <v>46081</v>
      </c>
      <c r="J27" s="10" t="n">
        <f aca="false">J12</f>
        <v>46084</v>
      </c>
      <c r="K27" s="18" t="n">
        <f aca="false">K12</f>
        <v>6</v>
      </c>
      <c r="L27" s="9" t="str">
        <f aca="false">L12</f>
        <v>DIRECT</v>
      </c>
      <c r="M27" s="10" t="n">
        <f aca="false">M12</f>
        <v>46084</v>
      </c>
      <c r="N27" s="9" t="str">
        <f aca="false">N12</f>
        <v>Include DTHC、DDF</v>
      </c>
      <c r="O27" s="21"/>
    </row>
    <row r="28" customFormat="false" ht="28.9" hidden="false" customHeight="false" outlineLevel="0" collapsed="false">
      <c r="A28" s="2"/>
      <c r="B28" s="7" t="s">
        <v>66</v>
      </c>
      <c r="C28" s="8" t="s">
        <v>30</v>
      </c>
      <c r="D28" s="8" t="s">
        <v>73</v>
      </c>
      <c r="E28" s="8" t="s">
        <v>30</v>
      </c>
      <c r="F28" s="8" t="s">
        <v>73</v>
      </c>
      <c r="G28" s="17" t="str">
        <f aca="false">G13</f>
        <v>Nakhodka</v>
      </c>
      <c r="H28" s="10" t="str">
        <f aca="false">H13</f>
        <v>Hua Zheng Hai Gang
62603W</v>
      </c>
      <c r="I28" s="10" t="n">
        <f aca="false">I13</f>
        <v>46077</v>
      </c>
      <c r="J28" s="10" t="n">
        <f aca="false">J13</f>
        <v>46080</v>
      </c>
      <c r="K28" s="18" t="n">
        <f aca="false">K13</f>
        <v>4</v>
      </c>
      <c r="L28" s="9" t="str">
        <f aca="false">L13</f>
        <v>DIRECT</v>
      </c>
      <c r="M28" s="10" t="n">
        <f aca="false">M13</f>
        <v>46080</v>
      </c>
      <c r="N28" s="9" t="str">
        <f aca="false">N13</f>
        <v>Include DTHC、DDF</v>
      </c>
      <c r="O28" s="21" t="s">
        <v>75</v>
      </c>
    </row>
    <row r="29" customFormat="false" ht="13.5" hidden="false" customHeight="false" outlineLevel="0" collapsed="false">
      <c r="A29" s="22"/>
      <c r="B29" s="23"/>
      <c r="G29" s="23"/>
      <c r="H29" s="23"/>
      <c r="I29" s="23"/>
      <c r="J29" s="23"/>
      <c r="K29" s="23"/>
      <c r="L29" s="23"/>
      <c r="M29" s="24"/>
      <c r="N29" s="24"/>
    </row>
    <row r="30" customFormat="false" ht="15.05" hidden="false" customHeight="true" outlineLevel="0" collapsed="false">
      <c r="A30" s="2" t="s">
        <v>76</v>
      </c>
      <c r="B30" s="3" t="s">
        <v>1</v>
      </c>
      <c r="C30" s="4" t="s">
        <v>70</v>
      </c>
      <c r="D30" s="4"/>
      <c r="E30" s="4" t="s">
        <v>71</v>
      </c>
      <c r="F30" s="4"/>
      <c r="G30" s="4" t="s">
        <v>4</v>
      </c>
      <c r="H30" s="4" t="s">
        <v>5</v>
      </c>
      <c r="I30" s="4" t="s">
        <v>6</v>
      </c>
      <c r="J30" s="4" t="s">
        <v>7</v>
      </c>
      <c r="K30" s="4" t="s">
        <v>8</v>
      </c>
      <c r="L30" s="4" t="s">
        <v>9</v>
      </c>
      <c r="M30" s="5" t="s">
        <v>10</v>
      </c>
      <c r="N30" s="5" t="s">
        <v>11</v>
      </c>
    </row>
    <row r="31" customFormat="false" ht="42.75" hidden="false" customHeight="false" outlineLevel="0" collapsed="false">
      <c r="A31" s="2"/>
      <c r="B31" s="7" t="s">
        <v>13</v>
      </c>
      <c r="C31" s="8" t="n">
        <v>1700</v>
      </c>
      <c r="D31" s="8" t="s">
        <v>72</v>
      </c>
      <c r="E31" s="8" t="n">
        <v>2650</v>
      </c>
      <c r="F31" s="8" t="s">
        <v>72</v>
      </c>
      <c r="G31" s="9" t="str">
        <f aca="false">G16</f>
        <v>Vladivostok Commercial Port</v>
      </c>
      <c r="H31" s="10" t="str">
        <f aca="false">H16</f>
        <v>HAI SHUN FENG 27
2603N</v>
      </c>
      <c r="I31" s="10" t="n">
        <f aca="false">I16</f>
        <v>46090</v>
      </c>
      <c r="J31" s="10" t="n">
        <f aca="false">J16</f>
        <v>46093</v>
      </c>
      <c r="K31" s="18" t="n">
        <f aca="false">K16</f>
        <v>4</v>
      </c>
      <c r="L31" s="9" t="str">
        <f aca="false">L16</f>
        <v>DIRECT</v>
      </c>
      <c r="M31" s="10" t="n">
        <f aca="false">M16</f>
        <v>46093</v>
      </c>
      <c r="N31" s="12" t="str">
        <f aca="false">N16</f>
        <v>Include DTHC $550/650
Exclude DDF $50/bill
DTHC&amp;DDF PP/CC Available</v>
      </c>
    </row>
    <row r="32" customFormat="false" ht="42.75" hidden="false" customHeight="false" outlineLevel="0" collapsed="false">
      <c r="A32" s="2"/>
      <c r="B32" s="7" t="s">
        <v>13</v>
      </c>
      <c r="C32" s="8" t="n">
        <v>1700</v>
      </c>
      <c r="D32" s="8" t="s">
        <v>72</v>
      </c>
      <c r="E32" s="8" t="n">
        <v>2550</v>
      </c>
      <c r="F32" s="8" t="s">
        <v>72</v>
      </c>
      <c r="G32" s="9" t="str">
        <f aca="false">G17</f>
        <v>VRANGEL BAY</v>
      </c>
      <c r="H32" s="10" t="str">
        <f aca="false">H17</f>
        <v>HAI SHUN FENG 27
2603N</v>
      </c>
      <c r="I32" s="10" t="n">
        <f aca="false">I17</f>
        <v>46090</v>
      </c>
      <c r="J32" s="10" t="n">
        <f aca="false">J17</f>
        <v>46093</v>
      </c>
      <c r="K32" s="18" t="n">
        <f aca="false">K17</f>
        <v>5</v>
      </c>
      <c r="L32" s="9" t="str">
        <f aca="false">L17</f>
        <v>DIRECT</v>
      </c>
      <c r="M32" s="10" t="n">
        <f aca="false">M17</f>
        <v>46093</v>
      </c>
      <c r="N32" s="12" t="str">
        <f aca="false">N17</f>
        <v>Include DTHC $550/650
Exclude DDF $50/bill
DTHC&amp;DDF PP/CC Available</v>
      </c>
    </row>
    <row r="33" customFormat="false" ht="28.9" hidden="false" customHeight="false" outlineLevel="0" collapsed="false">
      <c r="A33" s="2"/>
      <c r="B33" s="7" t="s">
        <v>21</v>
      </c>
      <c r="C33" s="8" t="n">
        <v>1735</v>
      </c>
      <c r="D33" s="8" t="s">
        <v>73</v>
      </c>
      <c r="E33" s="8" t="n">
        <v>3080</v>
      </c>
      <c r="F33" s="8" t="s">
        <v>73</v>
      </c>
      <c r="G33" s="9" t="str">
        <f aca="false">G18</f>
        <v>Vladivostok Commercial / Fish Port</v>
      </c>
      <c r="H33" s="10" t="str">
        <f aca="false">H18</f>
        <v>SURABAYA VOYAGER
9018E</v>
      </c>
      <c r="I33" s="10" t="n">
        <f aca="false">I18</f>
        <v>46066</v>
      </c>
      <c r="J33" s="10" t="n">
        <f aca="false">J18</f>
        <v>46069</v>
      </c>
      <c r="K33" s="18" t="str">
        <f aca="false">K18</f>
        <v>4~5</v>
      </c>
      <c r="L33" s="9" t="str">
        <f aca="false">L18</f>
        <v>DIRECT</v>
      </c>
      <c r="M33" s="10" t="n">
        <f aca="false">M18</f>
        <v>46069</v>
      </c>
      <c r="N33" s="12" t="str">
        <f aca="false">N18</f>
        <v>Include DTHC $550/650
DTHC PP/CC Available</v>
      </c>
    </row>
    <row r="34" customFormat="false" ht="28.9" hidden="false" customHeight="false" outlineLevel="0" collapsed="false">
      <c r="A34" s="2"/>
      <c r="B34" s="14" t="s">
        <v>27</v>
      </c>
      <c r="C34" s="8" t="n">
        <v>1735</v>
      </c>
      <c r="D34" s="8" t="s">
        <v>73</v>
      </c>
      <c r="E34" s="8" t="n">
        <v>3080</v>
      </c>
      <c r="F34" s="8" t="s">
        <v>73</v>
      </c>
      <c r="G34" s="9" t="str">
        <f aca="false">G19</f>
        <v>Vladivostok Commercial / Fish Port</v>
      </c>
      <c r="H34" s="10" t="str">
        <f aca="false">H19</f>
        <v>SURABAYA VOYAGER
9018E</v>
      </c>
      <c r="I34" s="10" t="n">
        <f aca="false">I19</f>
        <v>46066</v>
      </c>
      <c r="J34" s="10" t="n">
        <f aca="false">J19</f>
        <v>46069</v>
      </c>
      <c r="K34" s="18" t="str">
        <f aca="false">K19</f>
        <v>4~5</v>
      </c>
      <c r="L34" s="9" t="str">
        <f aca="false">L19</f>
        <v>DIRECT</v>
      </c>
      <c r="M34" s="10" t="n">
        <f aca="false">M19</f>
        <v>46069</v>
      </c>
      <c r="N34" s="12" t="str">
        <f aca="false">N19</f>
        <v>Include DTHC $550/650
DTHC PP/CC Available</v>
      </c>
    </row>
    <row r="35" customFormat="false" ht="42.75" hidden="false" customHeight="false" outlineLevel="0" collapsed="false">
      <c r="A35" s="2"/>
      <c r="B35" s="7" t="s">
        <v>29</v>
      </c>
      <c r="C35" s="8" t="s">
        <v>30</v>
      </c>
      <c r="D35" s="8" t="s">
        <v>73</v>
      </c>
      <c r="E35" s="8" t="s">
        <v>30</v>
      </c>
      <c r="F35" s="8" t="s">
        <v>73</v>
      </c>
      <c r="G35" s="9" t="str">
        <f aca="false">G20</f>
        <v>Vladivostok Commercial Port</v>
      </c>
      <c r="H35" s="10" t="str">
        <f aca="false">H20</f>
        <v>HAI SHUN FENG 27
2601N</v>
      </c>
      <c r="I35" s="10" t="n">
        <f aca="false">I20</f>
        <v>46054</v>
      </c>
      <c r="J35" s="10" t="n">
        <f aca="false">J20</f>
        <v>46057</v>
      </c>
      <c r="K35" s="18" t="str">
        <f aca="false">K20</f>
        <v>6~7</v>
      </c>
      <c r="L35" s="9" t="str">
        <f aca="false">L20</f>
        <v>DIRECT</v>
      </c>
      <c r="M35" s="10" t="n">
        <f aca="false">M20</f>
        <v>46081</v>
      </c>
      <c r="N35" s="12" t="str">
        <f aca="false">N20</f>
        <v>Include DTHC $400/500
DDF $50/bill
DTHC&amp;DDF PP/CC Available</v>
      </c>
    </row>
    <row r="36" customFormat="false" ht="42.75" hidden="false" customHeight="false" outlineLevel="0" collapsed="false">
      <c r="A36" s="2"/>
      <c r="B36" s="7" t="s">
        <v>35</v>
      </c>
      <c r="C36" s="8" t="n">
        <v>1835</v>
      </c>
      <c r="D36" s="8" t="s">
        <v>73</v>
      </c>
      <c r="E36" s="8" t="n">
        <v>2980</v>
      </c>
      <c r="F36" s="8" t="s">
        <v>73</v>
      </c>
      <c r="G36" s="9" t="str">
        <f aca="false">G21</f>
        <v>Vladivostok Commercial / Fish Port</v>
      </c>
      <c r="H36" s="10" t="s">
        <v>36</v>
      </c>
      <c r="I36" s="10" t="s">
        <v>37</v>
      </c>
      <c r="J36" s="10" t="s">
        <v>38</v>
      </c>
      <c r="K36" s="18" t="str">
        <f aca="false">K21</f>
        <v>8~9</v>
      </c>
      <c r="L36" s="9" t="str">
        <f aca="false">L21</f>
        <v>VIA BUSAN </v>
      </c>
      <c r="M36" s="10" t="n">
        <f aca="false">M21</f>
        <v>46081</v>
      </c>
      <c r="N36" s="12" t="str">
        <f aca="false">N21</f>
        <v>Include DTHC
Exclude DDF $50/bill</v>
      </c>
    </row>
    <row r="37" customFormat="false" ht="28.9" hidden="false" customHeight="false" outlineLevel="0" collapsed="false">
      <c r="A37" s="2"/>
      <c r="B37" s="7" t="s">
        <v>43</v>
      </c>
      <c r="C37" s="8" t="n">
        <v>1880</v>
      </c>
      <c r="D37" s="8" t="s">
        <v>73</v>
      </c>
      <c r="E37" s="8" t="n">
        <v>3000</v>
      </c>
      <c r="F37" s="8" t="s">
        <v>73</v>
      </c>
      <c r="G37" s="9" t="str">
        <f aca="false">G22</f>
        <v>Vladivostok Commercial Port</v>
      </c>
      <c r="H37" s="10" t="str">
        <f aca="false">H22</f>
        <v>FESCO DALNEGORSK HK734N
&amp; FESCO SOFIA HK735N</v>
      </c>
      <c r="I37" s="10" t="str">
        <f aca="false">I22</f>
        <v>2-Mar
&amp; 9-Mar</v>
      </c>
      <c r="J37" s="10" t="str">
        <f aca="false">J22</f>
        <v>5-Mar
&amp; 12-Mar</v>
      </c>
      <c r="K37" s="18" t="n">
        <f aca="false">K22</f>
        <v>4</v>
      </c>
      <c r="L37" s="9" t="str">
        <f aca="false">L22</f>
        <v>DIRECT</v>
      </c>
      <c r="M37" s="10" t="n">
        <f aca="false">M22</f>
        <v>46075</v>
      </c>
      <c r="N37" s="12" t="str">
        <f aca="false">N22</f>
        <v>Include DTHC $350/450
DTHC PP/CC Available</v>
      </c>
    </row>
    <row r="38" customFormat="false" ht="30" hidden="false" customHeight="true" outlineLevel="0" collapsed="false">
      <c r="A38" s="2"/>
      <c r="B38" s="7" t="s">
        <v>49</v>
      </c>
      <c r="C38" s="19" t="n">
        <v>1460</v>
      </c>
      <c r="D38" s="8" t="s">
        <v>72</v>
      </c>
      <c r="E38" s="8" t="n">
        <v>2560</v>
      </c>
      <c r="F38" s="8" t="s">
        <v>72</v>
      </c>
      <c r="G38" s="9" t="str">
        <f aca="false">G23</f>
        <v>Vladivostok Fish Port</v>
      </c>
      <c r="H38" s="25" t="str">
        <f aca="false">H23</f>
        <v>ZIM MOUNT RAINIER 11E</v>
      </c>
      <c r="I38" s="10" t="n">
        <f aca="false">I23</f>
        <v>46074</v>
      </c>
      <c r="J38" s="10" t="n">
        <f aca="false">J23</f>
        <v>46077</v>
      </c>
      <c r="K38" s="16" t="str">
        <f aca="false">K23</f>
        <v>6~7</v>
      </c>
      <c r="L38" s="9" t="str">
        <f aca="false">L23</f>
        <v>VIA BUSAN </v>
      </c>
      <c r="M38" s="20" t="n">
        <f aca="false">M23</f>
        <v>46081</v>
      </c>
      <c r="N38" s="12" t="str">
        <f aca="false">N23</f>
        <v>Include DTHC、DDF</v>
      </c>
    </row>
    <row r="39" customFormat="false" ht="42.75" hidden="false" customHeight="false" outlineLevel="0" collapsed="false">
      <c r="A39" s="2"/>
      <c r="B39" s="7" t="s">
        <v>54</v>
      </c>
      <c r="C39" s="8" t="n">
        <v>1835</v>
      </c>
      <c r="D39" s="8" t="s">
        <v>73</v>
      </c>
      <c r="E39" s="8" t="n">
        <v>2730</v>
      </c>
      <c r="F39" s="8" t="s">
        <v>73</v>
      </c>
      <c r="G39" s="12" t="s">
        <v>55</v>
      </c>
      <c r="H39" s="10" t="s">
        <v>56</v>
      </c>
      <c r="I39" s="10" t="s">
        <v>57</v>
      </c>
      <c r="J39" s="10" t="s">
        <v>58</v>
      </c>
      <c r="K39" s="18" t="str">
        <f aca="false">K24</f>
        <v>4~5</v>
      </c>
      <c r="L39" s="9" t="str">
        <f aca="false">L24</f>
        <v>DIRECT</v>
      </c>
      <c r="M39" s="10" t="n">
        <v>46096</v>
      </c>
      <c r="N39" s="9" t="str">
        <f aca="false">N24</f>
        <v>Include DTHC、DDF</v>
      </c>
    </row>
    <row r="40" customFormat="false" ht="28.9" hidden="false" customHeight="false" outlineLevel="0" collapsed="false">
      <c r="A40" s="2"/>
      <c r="B40" s="7" t="s">
        <v>60</v>
      </c>
      <c r="C40" s="8" t="s">
        <v>30</v>
      </c>
      <c r="D40" s="8" t="s">
        <v>73</v>
      </c>
      <c r="E40" s="8" t="n">
        <v>2480</v>
      </c>
      <c r="F40" s="8" t="s">
        <v>73</v>
      </c>
      <c r="G40" s="9" t="str">
        <f aca="false">G11</f>
        <v>Vostochny</v>
      </c>
      <c r="H40" s="10" t="str">
        <f aca="false">H11</f>
        <v>HT GLORY
2603N</v>
      </c>
      <c r="I40" s="10" t="n">
        <f aca="false">I11</f>
        <v>46076</v>
      </c>
      <c r="J40" s="10" t="n">
        <f aca="false">J11</f>
        <v>46079</v>
      </c>
      <c r="K40" s="18" t="n">
        <v>6</v>
      </c>
      <c r="L40" s="9" t="s">
        <v>16</v>
      </c>
      <c r="M40" s="10" t="n">
        <v>46079</v>
      </c>
      <c r="N40" s="12" t="s">
        <v>63</v>
      </c>
    </row>
    <row r="41" customFormat="false" ht="28.9" hidden="false" customHeight="false" outlineLevel="0" collapsed="false">
      <c r="A41" s="2"/>
      <c r="B41" s="7" t="s">
        <v>64</v>
      </c>
      <c r="C41" s="19" t="n">
        <v>1725</v>
      </c>
      <c r="D41" s="8" t="s">
        <v>73</v>
      </c>
      <c r="E41" s="8" t="n">
        <v>2705</v>
      </c>
      <c r="F41" s="8" t="s">
        <v>73</v>
      </c>
      <c r="G41" s="9" t="str">
        <f aca="false">G27</f>
        <v>Vostochny</v>
      </c>
      <c r="H41" s="10" t="str">
        <f aca="false">H12</f>
        <v>BELLE ARIES
2607N</v>
      </c>
      <c r="I41" s="10" t="n">
        <f aca="false">I12</f>
        <v>46081</v>
      </c>
      <c r="J41" s="10" t="n">
        <f aca="false">J12</f>
        <v>46084</v>
      </c>
      <c r="K41" s="18" t="n">
        <f aca="false">K27</f>
        <v>6</v>
      </c>
      <c r="L41" s="9" t="str">
        <f aca="false">L27</f>
        <v>DIRECT</v>
      </c>
      <c r="M41" s="10" t="n">
        <f aca="false">M12</f>
        <v>46084</v>
      </c>
      <c r="N41" s="9" t="str">
        <f aca="false">N27</f>
        <v>Include DTHC、DDF</v>
      </c>
      <c r="O41" s="21"/>
    </row>
    <row r="42" customFormat="false" ht="28.9" hidden="false" customHeight="false" outlineLevel="0" collapsed="false">
      <c r="A42" s="2"/>
      <c r="B42" s="7" t="s">
        <v>66</v>
      </c>
      <c r="C42" s="8" t="n">
        <v>1530</v>
      </c>
      <c r="D42" s="8" t="s">
        <v>73</v>
      </c>
      <c r="E42" s="8" t="n">
        <v>2700</v>
      </c>
      <c r="F42" s="8" t="s">
        <v>73</v>
      </c>
      <c r="G42" s="17" t="str">
        <f aca="false">G13</f>
        <v>Nakhodka</v>
      </c>
      <c r="H42" s="17" t="str">
        <f aca="false">H13</f>
        <v>Hua Zheng Hai Gang
62603W</v>
      </c>
      <c r="I42" s="10" t="n">
        <f aca="false">I13</f>
        <v>46077</v>
      </c>
      <c r="J42" s="10" t="n">
        <f aca="false">J13</f>
        <v>46080</v>
      </c>
      <c r="K42" s="18" t="n">
        <f aca="false">K28</f>
        <v>4</v>
      </c>
      <c r="L42" s="9" t="str">
        <f aca="false">L28</f>
        <v>DIRECT</v>
      </c>
      <c r="M42" s="10" t="n">
        <f aca="false">M28</f>
        <v>46080</v>
      </c>
      <c r="N42" s="9" t="str">
        <f aca="false">N28</f>
        <v>Include DTHC、DDF</v>
      </c>
      <c r="O42" s="21" t="s">
        <v>75</v>
      </c>
    </row>
    <row r="43" customFormat="false" ht="13.5" hidden="false" customHeight="false" outlineLevel="0" collapsed="false">
      <c r="B43" s="24"/>
      <c r="G43" s="24"/>
      <c r="H43" s="24"/>
      <c r="I43" s="24"/>
      <c r="J43" s="24"/>
      <c r="K43" s="24"/>
      <c r="L43" s="24"/>
      <c r="M43" s="24"/>
      <c r="N43" s="24"/>
    </row>
    <row r="44" customFormat="false" ht="15.05" hidden="false" customHeight="true" outlineLevel="0" collapsed="false">
      <c r="A44" s="2" t="s">
        <v>77</v>
      </c>
      <c r="B44" s="3" t="s">
        <v>1</v>
      </c>
      <c r="C44" s="4" t="s">
        <v>70</v>
      </c>
      <c r="D44" s="4"/>
      <c r="E44" s="4" t="s">
        <v>71</v>
      </c>
      <c r="F44" s="4"/>
      <c r="G44" s="4" t="s">
        <v>4</v>
      </c>
      <c r="H44" s="4" t="s">
        <v>5</v>
      </c>
      <c r="I44" s="4" t="s">
        <v>6</v>
      </c>
      <c r="J44" s="4" t="s">
        <v>7</v>
      </c>
      <c r="K44" s="4" t="s">
        <v>8</v>
      </c>
      <c r="L44" s="4" t="s">
        <v>9</v>
      </c>
      <c r="M44" s="5" t="s">
        <v>10</v>
      </c>
      <c r="N44" s="5" t="s">
        <v>11</v>
      </c>
    </row>
    <row r="45" customFormat="false" ht="42.75" hidden="false" customHeight="false" outlineLevel="0" collapsed="false">
      <c r="A45" s="2"/>
      <c r="B45" s="7" t="s">
        <v>13</v>
      </c>
      <c r="C45" s="8" t="n">
        <v>1500</v>
      </c>
      <c r="D45" s="8" t="s">
        <v>72</v>
      </c>
      <c r="E45" s="8" t="n">
        <v>2300</v>
      </c>
      <c r="F45" s="8" t="s">
        <v>72</v>
      </c>
      <c r="G45" s="9" t="str">
        <f aca="false">G31</f>
        <v>Vladivostok Commercial Port</v>
      </c>
      <c r="H45" s="10" t="str">
        <f aca="false">H31</f>
        <v>HAI SHUN FENG 27
2603N</v>
      </c>
      <c r="I45" s="10" t="n">
        <f aca="false">I31</f>
        <v>46090</v>
      </c>
      <c r="J45" s="10" t="n">
        <f aca="false">J31</f>
        <v>46093</v>
      </c>
      <c r="K45" s="18" t="n">
        <f aca="false">K31</f>
        <v>4</v>
      </c>
      <c r="L45" s="9" t="str">
        <f aca="false">L31</f>
        <v>DIRECT</v>
      </c>
      <c r="M45" s="10" t="n">
        <f aca="false">M31</f>
        <v>46093</v>
      </c>
      <c r="N45" s="12" t="str">
        <f aca="false">N31</f>
        <v>Include DTHC $550/650
Exclude DDF $50/bill
DTHC&amp;DDF PP/CC Available</v>
      </c>
    </row>
    <row r="46" customFormat="false" ht="42.75" hidden="false" customHeight="false" outlineLevel="0" collapsed="false">
      <c r="A46" s="2"/>
      <c r="B46" s="7" t="s">
        <v>13</v>
      </c>
      <c r="C46" s="8" t="n">
        <v>1500</v>
      </c>
      <c r="D46" s="8" t="s">
        <v>72</v>
      </c>
      <c r="E46" s="8" t="n">
        <v>2200</v>
      </c>
      <c r="F46" s="8" t="s">
        <v>72</v>
      </c>
      <c r="G46" s="9" t="str">
        <f aca="false">G32</f>
        <v>VRANGEL BAY</v>
      </c>
      <c r="H46" s="10" t="str">
        <f aca="false">H32</f>
        <v>HAI SHUN FENG 27
2603N</v>
      </c>
      <c r="I46" s="10" t="n">
        <f aca="false">I32</f>
        <v>46090</v>
      </c>
      <c r="J46" s="10" t="n">
        <f aca="false">J32</f>
        <v>46093</v>
      </c>
      <c r="K46" s="18" t="n">
        <f aca="false">K32</f>
        <v>5</v>
      </c>
      <c r="L46" s="9" t="str">
        <f aca="false">L32</f>
        <v>DIRECT</v>
      </c>
      <c r="M46" s="10" t="n">
        <f aca="false">M32</f>
        <v>46093</v>
      </c>
      <c r="N46" s="12" t="str">
        <f aca="false">N32</f>
        <v>Include DTHC $550/650
Exclude DDF $50/bill
DTHC&amp;DDF PP/CC Available</v>
      </c>
    </row>
    <row r="47" customFormat="false" ht="28.9" hidden="false" customHeight="false" outlineLevel="0" collapsed="false">
      <c r="A47" s="2"/>
      <c r="B47" s="7" t="s">
        <v>21</v>
      </c>
      <c r="C47" s="8" t="n">
        <v>1520</v>
      </c>
      <c r="D47" s="8" t="s">
        <v>73</v>
      </c>
      <c r="E47" s="8" t="n">
        <v>2730</v>
      </c>
      <c r="F47" s="8" t="s">
        <v>72</v>
      </c>
      <c r="G47" s="9" t="str">
        <f aca="false">G33</f>
        <v>Vladivostok Commercial / Fish Port</v>
      </c>
      <c r="H47" s="10" t="str">
        <f aca="false">H33</f>
        <v>SURABAYA VOYAGER
9018E</v>
      </c>
      <c r="I47" s="10" t="n">
        <f aca="false">I33</f>
        <v>46066</v>
      </c>
      <c r="J47" s="10" t="n">
        <f aca="false">J33</f>
        <v>46069</v>
      </c>
      <c r="K47" s="18" t="str">
        <f aca="false">K33</f>
        <v>4~5</v>
      </c>
      <c r="L47" s="9" t="str">
        <f aca="false">L33</f>
        <v>DIRECT</v>
      </c>
      <c r="M47" s="10" t="n">
        <f aca="false">M33</f>
        <v>46069</v>
      </c>
      <c r="N47" s="12" t="str">
        <f aca="false">N33</f>
        <v>Include DTHC $550/650
DTHC PP/CC Available</v>
      </c>
    </row>
    <row r="48" customFormat="false" ht="28.9" hidden="false" customHeight="false" outlineLevel="0" collapsed="false">
      <c r="A48" s="2"/>
      <c r="B48" s="14" t="s">
        <v>27</v>
      </c>
      <c r="C48" s="8" t="n">
        <v>1520</v>
      </c>
      <c r="D48" s="8" t="s">
        <v>73</v>
      </c>
      <c r="E48" s="8" t="n">
        <v>2730</v>
      </c>
      <c r="F48" s="8" t="s">
        <v>72</v>
      </c>
      <c r="G48" s="9" t="str">
        <f aca="false">G34</f>
        <v>Vladivostok Commercial / Fish Port</v>
      </c>
      <c r="H48" s="10" t="str">
        <f aca="false">H34</f>
        <v>SURABAYA VOYAGER
9018E</v>
      </c>
      <c r="I48" s="10" t="n">
        <f aca="false">I34</f>
        <v>46066</v>
      </c>
      <c r="J48" s="10" t="n">
        <f aca="false">J34</f>
        <v>46069</v>
      </c>
      <c r="K48" s="18" t="str">
        <f aca="false">K34</f>
        <v>4~5</v>
      </c>
      <c r="L48" s="9" t="str">
        <f aca="false">L34</f>
        <v>DIRECT</v>
      </c>
      <c r="M48" s="10" t="n">
        <f aca="false">M34</f>
        <v>46069</v>
      </c>
      <c r="N48" s="12" t="str">
        <f aca="false">N34</f>
        <v>Include DTHC $550/650
DTHC PP/CC Available</v>
      </c>
    </row>
    <row r="49" customFormat="false" ht="42.75" hidden="false" customHeight="false" outlineLevel="0" collapsed="false">
      <c r="A49" s="2"/>
      <c r="B49" s="7" t="s">
        <v>29</v>
      </c>
      <c r="C49" s="8" t="s">
        <v>30</v>
      </c>
      <c r="D49" s="8" t="s">
        <v>73</v>
      </c>
      <c r="E49" s="8" t="s">
        <v>30</v>
      </c>
      <c r="F49" s="8" t="s">
        <v>73</v>
      </c>
      <c r="G49" s="9" t="str">
        <f aca="false">G35</f>
        <v>Vladivostok Commercial Port</v>
      </c>
      <c r="H49" s="10" t="str">
        <f aca="false">H35</f>
        <v>HAI SHUN FENG 27
2601N</v>
      </c>
      <c r="I49" s="10" t="n">
        <f aca="false">I35</f>
        <v>46054</v>
      </c>
      <c r="J49" s="10" t="n">
        <f aca="false">J35</f>
        <v>46057</v>
      </c>
      <c r="K49" s="18" t="str">
        <f aca="false">K35</f>
        <v>6~7</v>
      </c>
      <c r="L49" s="9" t="str">
        <f aca="false">L35</f>
        <v>DIRECT</v>
      </c>
      <c r="M49" s="10" t="n">
        <f aca="false">M35</f>
        <v>46081</v>
      </c>
      <c r="N49" s="12" t="str">
        <f aca="false">N35</f>
        <v>Include DTHC $400/500
DDF $50/bill
DTHC&amp;DDF PP/CC Available</v>
      </c>
    </row>
    <row r="50" customFormat="false" ht="42.75" hidden="false" customHeight="false" outlineLevel="0" collapsed="false">
      <c r="A50" s="2"/>
      <c r="B50" s="7" t="s">
        <v>35</v>
      </c>
      <c r="C50" s="8" t="n">
        <v>1635</v>
      </c>
      <c r="D50" s="8" t="s">
        <v>73</v>
      </c>
      <c r="E50" s="8" t="n">
        <v>2630</v>
      </c>
      <c r="F50" s="8" t="s">
        <v>73</v>
      </c>
      <c r="G50" s="9" t="str">
        <f aca="false">G36</f>
        <v>Vladivostok Commercial / Fish Port</v>
      </c>
      <c r="H50" s="10" t="s">
        <v>36</v>
      </c>
      <c r="I50" s="10" t="s">
        <v>37</v>
      </c>
      <c r="J50" s="10" t="s">
        <v>38</v>
      </c>
      <c r="K50" s="18" t="str">
        <f aca="false">K36</f>
        <v>8~9</v>
      </c>
      <c r="L50" s="9" t="str">
        <f aca="false">L36</f>
        <v>VIA BUSAN </v>
      </c>
      <c r="M50" s="10" t="n">
        <f aca="false">M36</f>
        <v>46081</v>
      </c>
      <c r="N50" s="12" t="str">
        <f aca="false">N36</f>
        <v>Include DTHC
Exclude DDF $50/bill</v>
      </c>
    </row>
    <row r="51" customFormat="false" ht="28.9" hidden="false" customHeight="false" outlineLevel="0" collapsed="false">
      <c r="A51" s="2"/>
      <c r="B51" s="7" t="s">
        <v>43</v>
      </c>
      <c r="C51" s="8" t="n">
        <v>1660</v>
      </c>
      <c r="D51" s="8" t="s">
        <v>73</v>
      </c>
      <c r="E51" s="8" t="n">
        <v>2700</v>
      </c>
      <c r="F51" s="8" t="s">
        <v>73</v>
      </c>
      <c r="G51" s="9" t="str">
        <f aca="false">G37</f>
        <v>Vladivostok Commercial Port</v>
      </c>
      <c r="H51" s="10" t="str">
        <f aca="false">H37</f>
        <v>FESCO DALNEGORSK HK734N
&amp; FESCO SOFIA HK735N</v>
      </c>
      <c r="I51" s="10" t="str">
        <f aca="false">I37</f>
        <v>2-Mar
&amp; 9-Mar</v>
      </c>
      <c r="J51" s="10" t="str">
        <f aca="false">J37</f>
        <v>5-Mar
&amp; 12-Mar</v>
      </c>
      <c r="K51" s="18" t="n">
        <f aca="false">K37</f>
        <v>4</v>
      </c>
      <c r="L51" s="9" t="str">
        <f aca="false">L37</f>
        <v>DIRECT</v>
      </c>
      <c r="M51" s="10" t="n">
        <f aca="false">M37</f>
        <v>46075</v>
      </c>
      <c r="N51" s="12" t="str">
        <f aca="false">N37</f>
        <v>Include DTHC $350/450
DTHC PP/CC Available</v>
      </c>
    </row>
    <row r="52" customFormat="false" ht="30" hidden="false" customHeight="true" outlineLevel="0" collapsed="false">
      <c r="A52" s="2"/>
      <c r="B52" s="7" t="s">
        <v>49</v>
      </c>
      <c r="C52" s="19" t="n">
        <v>1360</v>
      </c>
      <c r="D52" s="8" t="s">
        <v>72</v>
      </c>
      <c r="E52" s="8" t="n">
        <v>2360</v>
      </c>
      <c r="F52" s="8" t="s">
        <v>72</v>
      </c>
      <c r="G52" s="9" t="str">
        <f aca="false">G38</f>
        <v>Vladivostok Fish Port</v>
      </c>
      <c r="H52" s="25" t="str">
        <f aca="false">H38</f>
        <v>ZIM MOUNT RAINIER 11E</v>
      </c>
      <c r="I52" s="25" t="n">
        <f aca="false">I38</f>
        <v>46074</v>
      </c>
      <c r="J52" s="10" t="n">
        <f aca="false">J38</f>
        <v>46077</v>
      </c>
      <c r="K52" s="16" t="str">
        <f aca="false">K38</f>
        <v>6~7</v>
      </c>
      <c r="L52" s="9" t="str">
        <f aca="false">L38</f>
        <v>VIA BUSAN </v>
      </c>
      <c r="M52" s="20" t="n">
        <f aca="false">M38</f>
        <v>46081</v>
      </c>
      <c r="N52" s="12" t="str">
        <f aca="false">N38</f>
        <v>Include DTHC、DDF</v>
      </c>
    </row>
    <row r="53" customFormat="false" ht="42.75" hidden="false" customHeight="false" outlineLevel="0" collapsed="false">
      <c r="A53" s="2"/>
      <c r="B53" s="7" t="s">
        <v>54</v>
      </c>
      <c r="C53" s="8" t="n">
        <v>1635</v>
      </c>
      <c r="D53" s="8" t="s">
        <v>73</v>
      </c>
      <c r="E53" s="8" t="n">
        <v>2380</v>
      </c>
      <c r="F53" s="8" t="s">
        <v>73</v>
      </c>
      <c r="G53" s="12" t="s">
        <v>55</v>
      </c>
      <c r="H53" s="10" t="s">
        <v>56</v>
      </c>
      <c r="I53" s="10" t="s">
        <v>57</v>
      </c>
      <c r="J53" s="10" t="s">
        <v>58</v>
      </c>
      <c r="K53" s="18" t="str">
        <f aca="false">K39</f>
        <v>4~5</v>
      </c>
      <c r="L53" s="9" t="str">
        <f aca="false">L39</f>
        <v>DIRECT</v>
      </c>
      <c r="M53" s="10" t="n">
        <v>46096</v>
      </c>
      <c r="N53" s="9" t="str">
        <f aca="false">N39</f>
        <v>Include DTHC、DDF</v>
      </c>
    </row>
    <row r="54" customFormat="false" ht="28.9" hidden="false" customHeight="false" outlineLevel="0" collapsed="false">
      <c r="A54" s="2"/>
      <c r="B54" s="7" t="s">
        <v>60</v>
      </c>
      <c r="C54" s="8" t="s">
        <v>30</v>
      </c>
      <c r="D54" s="8" t="s">
        <v>73</v>
      </c>
      <c r="E54" s="8" t="n">
        <v>2230</v>
      </c>
      <c r="F54" s="8" t="s">
        <v>73</v>
      </c>
      <c r="G54" s="9" t="str">
        <f aca="false">G11</f>
        <v>Vostochny</v>
      </c>
      <c r="H54" s="10" t="str">
        <f aca="false">H11</f>
        <v>HT GLORY
2603N</v>
      </c>
      <c r="I54" s="10" t="n">
        <f aca="false">I11</f>
        <v>46076</v>
      </c>
      <c r="J54" s="10" t="n">
        <f aca="false">J11</f>
        <v>46079</v>
      </c>
      <c r="K54" s="18" t="n">
        <v>6</v>
      </c>
      <c r="L54" s="9" t="s">
        <v>16</v>
      </c>
      <c r="M54" s="10" t="n">
        <v>46079</v>
      </c>
      <c r="N54" s="12" t="s">
        <v>63</v>
      </c>
    </row>
    <row r="55" customFormat="false" ht="28.9" hidden="false" customHeight="false" outlineLevel="0" collapsed="false">
      <c r="A55" s="2"/>
      <c r="B55" s="7" t="s">
        <v>64</v>
      </c>
      <c r="C55" s="19" t="n">
        <v>1525</v>
      </c>
      <c r="D55" s="8" t="s">
        <v>73</v>
      </c>
      <c r="E55" s="8" t="n">
        <v>2355</v>
      </c>
      <c r="F55" s="8" t="s">
        <v>73</v>
      </c>
      <c r="G55" s="9" t="str">
        <f aca="false">G41</f>
        <v>Vostochny</v>
      </c>
      <c r="H55" s="10" t="str">
        <f aca="false">H12</f>
        <v>BELLE ARIES
2607N</v>
      </c>
      <c r="I55" s="10" t="n">
        <f aca="false">I12</f>
        <v>46081</v>
      </c>
      <c r="J55" s="10" t="n">
        <f aca="false">J12</f>
        <v>46084</v>
      </c>
      <c r="K55" s="18" t="n">
        <f aca="false">K41</f>
        <v>6</v>
      </c>
      <c r="L55" s="9" t="str">
        <f aca="false">L41</f>
        <v>DIRECT</v>
      </c>
      <c r="M55" s="10" t="n">
        <f aca="false">M12</f>
        <v>46084</v>
      </c>
      <c r="N55" s="9" t="str">
        <f aca="false">N41</f>
        <v>Include DTHC、DDF</v>
      </c>
      <c r="O55" s="21"/>
    </row>
    <row r="56" customFormat="false" ht="28.9" hidden="false" customHeight="false" outlineLevel="0" collapsed="false">
      <c r="A56" s="2"/>
      <c r="B56" s="7" t="s">
        <v>66</v>
      </c>
      <c r="C56" s="8" t="n">
        <v>1280</v>
      </c>
      <c r="D56" s="8" t="s">
        <v>73</v>
      </c>
      <c r="E56" s="8" t="n">
        <v>2350</v>
      </c>
      <c r="F56" s="8" t="s">
        <v>73</v>
      </c>
      <c r="G56" s="17" t="str">
        <f aca="false">G13</f>
        <v>Nakhodka</v>
      </c>
      <c r="H56" s="10" t="str">
        <f aca="false">H13</f>
        <v>Hua Zheng Hai Gang
62603W</v>
      </c>
      <c r="I56" s="10" t="n">
        <f aca="false">I13</f>
        <v>46077</v>
      </c>
      <c r="J56" s="10" t="n">
        <f aca="false">J13</f>
        <v>46080</v>
      </c>
      <c r="K56" s="18" t="n">
        <f aca="false">K42</f>
        <v>4</v>
      </c>
      <c r="L56" s="9" t="str">
        <f aca="false">L42</f>
        <v>DIRECT</v>
      </c>
      <c r="M56" s="10" t="n">
        <f aca="false">M42</f>
        <v>46080</v>
      </c>
      <c r="N56" s="9" t="str">
        <f aca="false">N42</f>
        <v>Include DTHC、DDF</v>
      </c>
      <c r="O56" s="21" t="s">
        <v>75</v>
      </c>
    </row>
    <row r="57" customFormat="false" ht="13.5" hidden="false" customHeight="false" outlineLevel="0" collapsed="false">
      <c r="B57" s="24"/>
      <c r="G57" s="24"/>
      <c r="H57" s="24"/>
      <c r="I57" s="24"/>
      <c r="J57" s="24"/>
      <c r="K57" s="24"/>
      <c r="L57" s="24"/>
      <c r="M57" s="24"/>
      <c r="N57" s="24"/>
    </row>
    <row r="58" customFormat="false" ht="15.05" hidden="false" customHeight="true" outlineLevel="0" collapsed="false">
      <c r="A58" s="2" t="s">
        <v>78</v>
      </c>
      <c r="B58" s="3" t="s">
        <v>1</v>
      </c>
      <c r="C58" s="4" t="s">
        <v>70</v>
      </c>
      <c r="D58" s="4"/>
      <c r="E58" s="4" t="s">
        <v>71</v>
      </c>
      <c r="F58" s="4"/>
      <c r="G58" s="4" t="s">
        <v>4</v>
      </c>
      <c r="H58" s="4" t="s">
        <v>5</v>
      </c>
      <c r="I58" s="4" t="s">
        <v>6</v>
      </c>
      <c r="J58" s="4" t="s">
        <v>7</v>
      </c>
      <c r="K58" s="4" t="s">
        <v>8</v>
      </c>
      <c r="L58" s="4" t="s">
        <v>9</v>
      </c>
      <c r="M58" s="5" t="s">
        <v>10</v>
      </c>
      <c r="N58" s="5" t="s">
        <v>11</v>
      </c>
    </row>
    <row r="59" customFormat="false" ht="42.75" hidden="false" customHeight="false" outlineLevel="0" collapsed="false">
      <c r="A59" s="2"/>
      <c r="B59" s="7" t="s">
        <v>13</v>
      </c>
      <c r="C59" s="8" t="n">
        <v>1620</v>
      </c>
      <c r="D59" s="8" t="s">
        <v>72</v>
      </c>
      <c r="E59" s="8" t="n">
        <v>2530</v>
      </c>
      <c r="F59" s="8" t="s">
        <v>72</v>
      </c>
      <c r="G59" s="9" t="str">
        <f aca="false">G45</f>
        <v>Vladivostok Commercial Port</v>
      </c>
      <c r="H59" s="10" t="str">
        <f aca="false">H45</f>
        <v>HAI SHUN FENG 27
2603N</v>
      </c>
      <c r="I59" s="10" t="n">
        <f aca="false">I45</f>
        <v>46090</v>
      </c>
      <c r="J59" s="10" t="n">
        <f aca="false">J45</f>
        <v>46093</v>
      </c>
      <c r="K59" s="18" t="n">
        <f aca="false">K45</f>
        <v>4</v>
      </c>
      <c r="L59" s="9" t="str">
        <f aca="false">L45</f>
        <v>DIRECT</v>
      </c>
      <c r="M59" s="10" t="n">
        <f aca="false">M45</f>
        <v>46093</v>
      </c>
      <c r="N59" s="12" t="str">
        <f aca="false">N45</f>
        <v>Include DTHC $550/650
Exclude DDF $50/bill
DTHC&amp;DDF PP/CC Available</v>
      </c>
    </row>
    <row r="60" customFormat="false" ht="42.75" hidden="false" customHeight="false" outlineLevel="0" collapsed="false">
      <c r="A60" s="2"/>
      <c r="B60" s="7" t="s">
        <v>13</v>
      </c>
      <c r="C60" s="8" t="n">
        <v>1620</v>
      </c>
      <c r="D60" s="8" t="s">
        <v>72</v>
      </c>
      <c r="E60" s="8" t="n">
        <v>2430</v>
      </c>
      <c r="F60" s="8" t="s">
        <v>72</v>
      </c>
      <c r="G60" s="9" t="str">
        <f aca="false">G46</f>
        <v>VRANGEL BAY</v>
      </c>
      <c r="H60" s="10" t="str">
        <f aca="false">H46</f>
        <v>HAI SHUN FENG 27
2603N</v>
      </c>
      <c r="I60" s="10" t="n">
        <f aca="false">I46</f>
        <v>46090</v>
      </c>
      <c r="J60" s="10" t="n">
        <f aca="false">J46</f>
        <v>46093</v>
      </c>
      <c r="K60" s="18" t="n">
        <f aca="false">K46</f>
        <v>5</v>
      </c>
      <c r="L60" s="9" t="str">
        <f aca="false">L46</f>
        <v>DIRECT</v>
      </c>
      <c r="M60" s="10" t="n">
        <f aca="false">M46</f>
        <v>46093</v>
      </c>
      <c r="N60" s="12" t="str">
        <f aca="false">N46</f>
        <v>Include DTHC $550/650
Exclude DDF $50/bill
DTHC&amp;DDF PP/CC Available</v>
      </c>
    </row>
    <row r="61" customFormat="false" ht="28.9" hidden="false" customHeight="false" outlineLevel="0" collapsed="false">
      <c r="A61" s="2"/>
      <c r="B61" s="7" t="s">
        <v>21</v>
      </c>
      <c r="C61" s="8" t="n">
        <v>1640</v>
      </c>
      <c r="D61" s="8" t="s">
        <v>73</v>
      </c>
      <c r="E61" s="8" t="n">
        <v>2810</v>
      </c>
      <c r="F61" s="8" t="s">
        <v>73</v>
      </c>
      <c r="G61" s="9" t="str">
        <f aca="false">G47</f>
        <v>Vladivostok Commercial / Fish Port</v>
      </c>
      <c r="H61" s="10" t="str">
        <f aca="false">H47</f>
        <v>SURABAYA VOYAGER
9018E</v>
      </c>
      <c r="I61" s="10" t="n">
        <f aca="false">I47</f>
        <v>46066</v>
      </c>
      <c r="J61" s="10" t="n">
        <f aca="false">J47</f>
        <v>46069</v>
      </c>
      <c r="K61" s="18" t="str">
        <f aca="false">K47</f>
        <v>4~5</v>
      </c>
      <c r="L61" s="9" t="str">
        <f aca="false">L47</f>
        <v>DIRECT</v>
      </c>
      <c r="M61" s="10" t="n">
        <f aca="false">M47</f>
        <v>46069</v>
      </c>
      <c r="N61" s="12" t="str">
        <f aca="false">N47</f>
        <v>Include DTHC $550/650
DTHC PP/CC Available</v>
      </c>
    </row>
    <row r="62" customFormat="false" ht="28.9" hidden="false" customHeight="false" outlineLevel="0" collapsed="false">
      <c r="A62" s="2"/>
      <c r="B62" s="14" t="s">
        <v>27</v>
      </c>
      <c r="C62" s="8" t="n">
        <v>1640</v>
      </c>
      <c r="D62" s="8" t="s">
        <v>73</v>
      </c>
      <c r="E62" s="8" t="n">
        <v>2810</v>
      </c>
      <c r="F62" s="8" t="s">
        <v>73</v>
      </c>
      <c r="G62" s="9" t="str">
        <f aca="false">G48</f>
        <v>Vladivostok Commercial / Fish Port</v>
      </c>
      <c r="H62" s="10" t="str">
        <f aca="false">H48</f>
        <v>SURABAYA VOYAGER
9018E</v>
      </c>
      <c r="I62" s="10" t="n">
        <f aca="false">I48</f>
        <v>46066</v>
      </c>
      <c r="J62" s="10" t="n">
        <f aca="false">J48</f>
        <v>46069</v>
      </c>
      <c r="K62" s="18" t="str">
        <f aca="false">K48</f>
        <v>4~5</v>
      </c>
      <c r="L62" s="9" t="str">
        <f aca="false">L48</f>
        <v>DIRECT</v>
      </c>
      <c r="M62" s="10" t="n">
        <f aca="false">M48</f>
        <v>46069</v>
      </c>
      <c r="N62" s="12" t="str">
        <f aca="false">N48</f>
        <v>Include DTHC $550/650
DTHC PP/CC Available</v>
      </c>
    </row>
    <row r="63" customFormat="false" ht="42.75" hidden="false" customHeight="false" outlineLevel="0" collapsed="false">
      <c r="A63" s="2"/>
      <c r="B63" s="7" t="s">
        <v>29</v>
      </c>
      <c r="C63" s="8" t="s">
        <v>30</v>
      </c>
      <c r="D63" s="8" t="s">
        <v>73</v>
      </c>
      <c r="E63" s="8" t="s">
        <v>30</v>
      </c>
      <c r="F63" s="8" t="s">
        <v>73</v>
      </c>
      <c r="G63" s="9" t="str">
        <f aca="false">G49</f>
        <v>Vladivostok Commercial Port</v>
      </c>
      <c r="H63" s="10" t="str">
        <f aca="false">H49</f>
        <v>HAI SHUN FENG 27
2601N</v>
      </c>
      <c r="I63" s="10" t="n">
        <f aca="false">I49</f>
        <v>46054</v>
      </c>
      <c r="J63" s="10" t="n">
        <f aca="false">J49</f>
        <v>46057</v>
      </c>
      <c r="K63" s="18" t="str">
        <f aca="false">K49</f>
        <v>6~7</v>
      </c>
      <c r="L63" s="9" t="str">
        <f aca="false">L49</f>
        <v>DIRECT</v>
      </c>
      <c r="M63" s="10" t="n">
        <f aca="false">M49</f>
        <v>46081</v>
      </c>
      <c r="N63" s="12" t="str">
        <f aca="false">N49</f>
        <v>Include DTHC $400/500
DDF $50/bill
DTHC&amp;DDF PP/CC Available</v>
      </c>
    </row>
    <row r="64" customFormat="false" ht="42.75" hidden="false" customHeight="false" outlineLevel="0" collapsed="false">
      <c r="A64" s="2"/>
      <c r="B64" s="7" t="s">
        <v>35</v>
      </c>
      <c r="C64" s="8" t="n">
        <v>1780</v>
      </c>
      <c r="D64" s="8" t="s">
        <v>73</v>
      </c>
      <c r="E64" s="8" t="n">
        <v>2710</v>
      </c>
      <c r="F64" s="8" t="s">
        <v>73</v>
      </c>
      <c r="G64" s="9" t="str">
        <f aca="false">G50</f>
        <v>Vladivostok Commercial / Fish Port</v>
      </c>
      <c r="H64" s="10" t="s">
        <v>36</v>
      </c>
      <c r="I64" s="10" t="s">
        <v>37</v>
      </c>
      <c r="J64" s="10" t="s">
        <v>38</v>
      </c>
      <c r="K64" s="18" t="str">
        <f aca="false">K50</f>
        <v>8~9</v>
      </c>
      <c r="L64" s="9" t="str">
        <f aca="false">L50</f>
        <v>VIA BUSAN </v>
      </c>
      <c r="M64" s="10" t="n">
        <f aca="false">M50</f>
        <v>46081</v>
      </c>
      <c r="N64" s="12" t="str">
        <f aca="false">N50</f>
        <v>Include DTHC
Exclude DDF $50/bill</v>
      </c>
    </row>
    <row r="65" customFormat="false" ht="28.9" hidden="false" customHeight="false" outlineLevel="0" collapsed="false">
      <c r="A65" s="2"/>
      <c r="B65" s="7" t="s">
        <v>43</v>
      </c>
      <c r="C65" s="8" t="n">
        <v>1805</v>
      </c>
      <c r="D65" s="8" t="s">
        <v>73</v>
      </c>
      <c r="E65" s="8" t="n">
        <v>2780</v>
      </c>
      <c r="F65" s="8" t="s">
        <v>73</v>
      </c>
      <c r="G65" s="9" t="str">
        <f aca="false">G51</f>
        <v>Vladivostok Commercial Port</v>
      </c>
      <c r="H65" s="10" t="str">
        <f aca="false">H51</f>
        <v>FESCO DALNEGORSK HK734N
&amp; FESCO SOFIA HK735N</v>
      </c>
      <c r="I65" s="10" t="str">
        <f aca="false">I51</f>
        <v>2-Mar
&amp; 9-Mar</v>
      </c>
      <c r="J65" s="10" t="str">
        <f aca="false">J51</f>
        <v>5-Mar
&amp; 12-Mar</v>
      </c>
      <c r="K65" s="18" t="n">
        <f aca="false">K51</f>
        <v>4</v>
      </c>
      <c r="L65" s="9" t="str">
        <f aca="false">L51</f>
        <v>DIRECT</v>
      </c>
      <c r="M65" s="10" t="n">
        <f aca="false">M51</f>
        <v>46075</v>
      </c>
      <c r="N65" s="12" t="str">
        <f aca="false">N51</f>
        <v>Include DTHC $350/450
DTHC PP/CC Available</v>
      </c>
    </row>
    <row r="66" customFormat="false" ht="30" hidden="false" customHeight="true" outlineLevel="0" collapsed="false">
      <c r="A66" s="2"/>
      <c r="B66" s="7" t="s">
        <v>49</v>
      </c>
      <c r="C66" s="19" t="n">
        <v>1610</v>
      </c>
      <c r="D66" s="8" t="s">
        <v>72</v>
      </c>
      <c r="E66" s="8" t="n">
        <v>1960</v>
      </c>
      <c r="F66" s="8" t="s">
        <v>72</v>
      </c>
      <c r="G66" s="9" t="str">
        <f aca="false">G52</f>
        <v>Vladivostok Fish Port</v>
      </c>
      <c r="H66" s="25" t="str">
        <f aca="false">H52</f>
        <v>ZIM MOUNT RAINIER 11E</v>
      </c>
      <c r="I66" s="25" t="n">
        <f aca="false">I52</f>
        <v>46074</v>
      </c>
      <c r="J66" s="10" t="n">
        <f aca="false">J52</f>
        <v>46077</v>
      </c>
      <c r="K66" s="16" t="str">
        <f aca="false">K52</f>
        <v>6~7</v>
      </c>
      <c r="L66" s="9" t="str">
        <f aca="false">L52</f>
        <v>VIA BUSAN </v>
      </c>
      <c r="M66" s="20" t="n">
        <f aca="false">M52</f>
        <v>46081</v>
      </c>
      <c r="N66" s="12" t="str">
        <f aca="false">N52</f>
        <v>Include DTHC、DDF</v>
      </c>
    </row>
    <row r="67" customFormat="false" ht="42.75" hidden="false" customHeight="false" outlineLevel="0" collapsed="false">
      <c r="A67" s="2"/>
      <c r="B67" s="7" t="s">
        <v>54</v>
      </c>
      <c r="C67" s="8" t="n">
        <v>1780</v>
      </c>
      <c r="D67" s="8" t="s">
        <v>73</v>
      </c>
      <c r="E67" s="8" t="n">
        <v>2460</v>
      </c>
      <c r="F67" s="8" t="s">
        <v>73</v>
      </c>
      <c r="G67" s="12" t="s">
        <v>55</v>
      </c>
      <c r="H67" s="10" t="s">
        <v>56</v>
      </c>
      <c r="I67" s="10" t="s">
        <v>57</v>
      </c>
      <c r="J67" s="10" t="s">
        <v>58</v>
      </c>
      <c r="K67" s="18" t="str">
        <f aca="false">K53</f>
        <v>4~5</v>
      </c>
      <c r="L67" s="9" t="str">
        <f aca="false">L53</f>
        <v>DIRECT</v>
      </c>
      <c r="M67" s="10" t="n">
        <v>46096</v>
      </c>
      <c r="N67" s="9" t="str">
        <f aca="false">N53</f>
        <v>Include DTHC、DDF</v>
      </c>
    </row>
    <row r="68" customFormat="false" ht="28.9" hidden="false" customHeight="false" outlineLevel="0" collapsed="false">
      <c r="A68" s="2"/>
      <c r="B68" s="7" t="s">
        <v>60</v>
      </c>
      <c r="C68" s="8" t="s">
        <v>30</v>
      </c>
      <c r="D68" s="8" t="s">
        <v>73</v>
      </c>
      <c r="E68" s="8" t="n">
        <v>2280</v>
      </c>
      <c r="F68" s="8" t="s">
        <v>73</v>
      </c>
      <c r="G68" s="9" t="str">
        <f aca="false">G11</f>
        <v>Vostochny</v>
      </c>
      <c r="H68" s="10" t="str">
        <f aca="false">H11</f>
        <v>HT GLORY
2603N</v>
      </c>
      <c r="I68" s="10" t="n">
        <f aca="false">I11</f>
        <v>46076</v>
      </c>
      <c r="J68" s="10" t="n">
        <f aca="false">J11</f>
        <v>46079</v>
      </c>
      <c r="K68" s="18" t="n">
        <v>6</v>
      </c>
      <c r="L68" s="9" t="s">
        <v>16</v>
      </c>
      <c r="M68" s="10" t="n">
        <v>46079</v>
      </c>
      <c r="N68" s="12" t="s">
        <v>63</v>
      </c>
    </row>
    <row r="69" customFormat="false" ht="28.9" hidden="false" customHeight="false" outlineLevel="0" collapsed="false">
      <c r="A69" s="2"/>
      <c r="B69" s="7" t="s">
        <v>64</v>
      </c>
      <c r="C69" s="19" t="n">
        <v>1645</v>
      </c>
      <c r="D69" s="8" t="s">
        <v>73</v>
      </c>
      <c r="E69" s="8" t="n">
        <v>2435</v>
      </c>
      <c r="F69" s="8" t="s">
        <v>73</v>
      </c>
      <c r="G69" s="9" t="str">
        <f aca="false">G55</f>
        <v>Vostochny</v>
      </c>
      <c r="H69" s="10" t="str">
        <f aca="false">H12</f>
        <v>BELLE ARIES
2607N</v>
      </c>
      <c r="I69" s="10" t="n">
        <f aca="false">I12</f>
        <v>46081</v>
      </c>
      <c r="J69" s="10" t="n">
        <f aca="false">J12</f>
        <v>46084</v>
      </c>
      <c r="K69" s="18" t="n">
        <f aca="false">K55</f>
        <v>6</v>
      </c>
      <c r="L69" s="9" t="str">
        <f aca="false">L55</f>
        <v>DIRECT</v>
      </c>
      <c r="M69" s="10" t="n">
        <f aca="false">M12</f>
        <v>46084</v>
      </c>
      <c r="N69" s="9" t="str">
        <f aca="false">N55</f>
        <v>Include DTHC、DDF</v>
      </c>
      <c r="O69" s="21"/>
    </row>
    <row r="70" customFormat="false" ht="28.9" hidden="false" customHeight="false" outlineLevel="0" collapsed="false">
      <c r="A70" s="2"/>
      <c r="B70" s="7" t="s">
        <v>66</v>
      </c>
      <c r="C70" s="8" t="n">
        <v>1450</v>
      </c>
      <c r="D70" s="8" t="s">
        <v>73</v>
      </c>
      <c r="E70" s="8" t="n">
        <v>2430</v>
      </c>
      <c r="F70" s="8" t="s">
        <v>73</v>
      </c>
      <c r="G70" s="17" t="str">
        <f aca="false">G13</f>
        <v>Nakhodka</v>
      </c>
      <c r="H70" s="10" t="str">
        <f aca="false">H13</f>
        <v>Hua Zheng Hai Gang
62603W</v>
      </c>
      <c r="I70" s="10" t="n">
        <f aca="false">I13</f>
        <v>46077</v>
      </c>
      <c r="J70" s="10" t="n">
        <f aca="false">J13</f>
        <v>46080</v>
      </c>
      <c r="K70" s="18" t="n">
        <f aca="false">K56</f>
        <v>4</v>
      </c>
      <c r="L70" s="9" t="str">
        <f aca="false">L56</f>
        <v>DIRECT</v>
      </c>
      <c r="M70" s="10" t="n">
        <f aca="false">M56</f>
        <v>46080</v>
      </c>
      <c r="N70" s="9" t="str">
        <f aca="false">N56</f>
        <v>Include DTHC、DDF</v>
      </c>
      <c r="O70" s="21" t="s">
        <v>75</v>
      </c>
    </row>
    <row r="71" customFormat="false" ht="13.5" hidden="false" customHeight="false" outlineLevel="0" collapsed="false">
      <c r="B71" s="23"/>
      <c r="G71" s="23"/>
      <c r="H71" s="23"/>
      <c r="I71" s="23"/>
      <c r="J71" s="23"/>
      <c r="K71" s="23"/>
      <c r="L71" s="23"/>
      <c r="M71" s="23"/>
      <c r="N71" s="23"/>
    </row>
    <row r="72" customFormat="false" ht="15.05" hidden="false" customHeight="true" outlineLevel="0" collapsed="false">
      <c r="A72" s="2" t="s">
        <v>79</v>
      </c>
      <c r="B72" s="3" t="s">
        <v>1</v>
      </c>
      <c r="C72" s="4" t="s">
        <v>70</v>
      </c>
      <c r="D72" s="4"/>
      <c r="E72" s="4" t="s">
        <v>71</v>
      </c>
      <c r="F72" s="4"/>
      <c r="G72" s="4" t="s">
        <v>4</v>
      </c>
      <c r="H72" s="4" t="s">
        <v>5</v>
      </c>
      <c r="I72" s="4" t="s">
        <v>6</v>
      </c>
      <c r="J72" s="4" t="s">
        <v>7</v>
      </c>
      <c r="K72" s="4" t="s">
        <v>8</v>
      </c>
      <c r="L72" s="4" t="s">
        <v>9</v>
      </c>
      <c r="M72" s="5" t="s">
        <v>10</v>
      </c>
      <c r="N72" s="5" t="s">
        <v>11</v>
      </c>
    </row>
    <row r="73" customFormat="false" ht="42.75" hidden="false" customHeight="false" outlineLevel="0" collapsed="false">
      <c r="A73" s="2"/>
      <c r="B73" s="7" t="s">
        <v>13</v>
      </c>
      <c r="C73" s="8" t="n">
        <v>1200</v>
      </c>
      <c r="D73" s="8" t="s">
        <v>72</v>
      </c>
      <c r="E73" s="8" t="n">
        <v>2050</v>
      </c>
      <c r="F73" s="8" t="s">
        <v>72</v>
      </c>
      <c r="G73" s="9" t="str">
        <f aca="false">G59</f>
        <v>Vladivostok Commercial Port</v>
      </c>
      <c r="H73" s="10" t="str">
        <f aca="false">H59</f>
        <v>HAI SHUN FENG 27
2603N</v>
      </c>
      <c r="I73" s="10" t="n">
        <f aca="false">I59</f>
        <v>46090</v>
      </c>
      <c r="J73" s="10" t="n">
        <f aca="false">J59</f>
        <v>46093</v>
      </c>
      <c r="K73" s="18" t="n">
        <f aca="false">K59</f>
        <v>4</v>
      </c>
      <c r="L73" s="9" t="str">
        <f aca="false">L59</f>
        <v>DIRECT</v>
      </c>
      <c r="M73" s="10" t="n">
        <f aca="false">M59</f>
        <v>46093</v>
      </c>
      <c r="N73" s="12" t="str">
        <f aca="false">N59</f>
        <v>Include DTHC $550/650
Exclude DDF $50/bill
DTHC&amp;DDF PP/CC Available</v>
      </c>
    </row>
    <row r="74" customFormat="false" ht="42.75" hidden="false" customHeight="false" outlineLevel="0" collapsed="false">
      <c r="A74" s="2"/>
      <c r="B74" s="7" t="s">
        <v>13</v>
      </c>
      <c r="C74" s="8" t="n">
        <v>1200</v>
      </c>
      <c r="D74" s="8" t="s">
        <v>72</v>
      </c>
      <c r="E74" s="8" t="n">
        <v>1950</v>
      </c>
      <c r="F74" s="8" t="s">
        <v>72</v>
      </c>
      <c r="G74" s="9" t="str">
        <f aca="false">G60</f>
        <v>VRANGEL BAY</v>
      </c>
      <c r="H74" s="10" t="str">
        <f aca="false">H60</f>
        <v>HAI SHUN FENG 27
2603N</v>
      </c>
      <c r="I74" s="10" t="n">
        <f aca="false">I60</f>
        <v>46090</v>
      </c>
      <c r="J74" s="10" t="n">
        <f aca="false">J60</f>
        <v>46093</v>
      </c>
      <c r="K74" s="18" t="n">
        <f aca="false">K60</f>
        <v>5</v>
      </c>
      <c r="L74" s="9" t="str">
        <f aca="false">L60</f>
        <v>DIRECT</v>
      </c>
      <c r="M74" s="10" t="n">
        <f aca="false">M60</f>
        <v>46093</v>
      </c>
      <c r="N74" s="12" t="str">
        <f aca="false">N60</f>
        <v>Include DTHC $550/650
Exclude DDF $50/bill
DTHC&amp;DDF PP/CC Available</v>
      </c>
    </row>
    <row r="75" customFormat="false" ht="28.9" hidden="false" customHeight="false" outlineLevel="0" collapsed="false">
      <c r="A75" s="2"/>
      <c r="B75" s="7" t="s">
        <v>21</v>
      </c>
      <c r="C75" s="8" t="n">
        <v>1270</v>
      </c>
      <c r="D75" s="8" t="s">
        <v>73</v>
      </c>
      <c r="E75" s="8" t="n">
        <v>2130</v>
      </c>
      <c r="F75" s="8" t="s">
        <v>72</v>
      </c>
      <c r="G75" s="9" t="str">
        <f aca="false">G61</f>
        <v>Vladivostok Commercial / Fish Port</v>
      </c>
      <c r="H75" s="10" t="str">
        <f aca="false">H61</f>
        <v>SURABAYA VOYAGER
9018E</v>
      </c>
      <c r="I75" s="10" t="n">
        <f aca="false">I61</f>
        <v>46066</v>
      </c>
      <c r="J75" s="10" t="n">
        <f aca="false">J61</f>
        <v>46069</v>
      </c>
      <c r="K75" s="18" t="str">
        <f aca="false">K61</f>
        <v>4~5</v>
      </c>
      <c r="L75" s="9" t="str">
        <f aca="false">L61</f>
        <v>DIRECT</v>
      </c>
      <c r="M75" s="10" t="n">
        <f aca="false">M61</f>
        <v>46069</v>
      </c>
      <c r="N75" s="12" t="str">
        <f aca="false">N61</f>
        <v>Include DTHC $550/650
DTHC PP/CC Available</v>
      </c>
    </row>
    <row r="76" customFormat="false" ht="28.9" hidden="false" customHeight="false" outlineLevel="0" collapsed="false">
      <c r="A76" s="2"/>
      <c r="B76" s="14" t="s">
        <v>27</v>
      </c>
      <c r="C76" s="8" t="n">
        <v>1270</v>
      </c>
      <c r="D76" s="8" t="s">
        <v>73</v>
      </c>
      <c r="E76" s="8" t="n">
        <v>2130</v>
      </c>
      <c r="F76" s="8" t="s">
        <v>72</v>
      </c>
      <c r="G76" s="9" t="str">
        <f aca="false">G62</f>
        <v>Vladivostok Commercial / Fish Port</v>
      </c>
      <c r="H76" s="10" t="str">
        <f aca="false">H62</f>
        <v>SURABAYA VOYAGER
9018E</v>
      </c>
      <c r="I76" s="10" t="n">
        <f aca="false">I62</f>
        <v>46066</v>
      </c>
      <c r="J76" s="10" t="n">
        <f aca="false">J62</f>
        <v>46069</v>
      </c>
      <c r="K76" s="18" t="str">
        <f aca="false">K62</f>
        <v>4~5</v>
      </c>
      <c r="L76" s="9" t="str">
        <f aca="false">L62</f>
        <v>DIRECT</v>
      </c>
      <c r="M76" s="10" t="n">
        <f aca="false">M62</f>
        <v>46069</v>
      </c>
      <c r="N76" s="12" t="str">
        <f aca="false">N62</f>
        <v>Include DTHC $550/650
DTHC PP/CC Available</v>
      </c>
    </row>
    <row r="77" customFormat="false" ht="42.75" hidden="false" customHeight="false" outlineLevel="0" collapsed="false">
      <c r="A77" s="2"/>
      <c r="B77" s="7" t="s">
        <v>29</v>
      </c>
      <c r="C77" s="8" t="s">
        <v>30</v>
      </c>
      <c r="D77" s="8" t="s">
        <v>73</v>
      </c>
      <c r="E77" s="8" t="s">
        <v>30</v>
      </c>
      <c r="F77" s="8" t="s">
        <v>73</v>
      </c>
      <c r="G77" s="9" t="str">
        <f aca="false">G63</f>
        <v>Vladivostok Commercial Port</v>
      </c>
      <c r="H77" s="10" t="str">
        <f aca="false">H63</f>
        <v>HAI SHUN FENG 27
2601N</v>
      </c>
      <c r="I77" s="10" t="n">
        <f aca="false">I63</f>
        <v>46054</v>
      </c>
      <c r="J77" s="10" t="n">
        <f aca="false">J63</f>
        <v>46057</v>
      </c>
      <c r="K77" s="18" t="str">
        <f aca="false">K63</f>
        <v>6~7</v>
      </c>
      <c r="L77" s="9" t="str">
        <f aca="false">L63</f>
        <v>DIRECT</v>
      </c>
      <c r="M77" s="10" t="n">
        <f aca="false">M63</f>
        <v>46081</v>
      </c>
      <c r="N77" s="12" t="str">
        <f aca="false">N63</f>
        <v>Include DTHC $400/500
DDF $50/bill
DTHC&amp;DDF PP/CC Available</v>
      </c>
    </row>
    <row r="78" customFormat="false" ht="42.75" hidden="false" customHeight="false" outlineLevel="0" collapsed="false">
      <c r="A78" s="2"/>
      <c r="B78" s="7" t="s">
        <v>35</v>
      </c>
      <c r="C78" s="8" t="n">
        <v>1385</v>
      </c>
      <c r="D78" s="8" t="s">
        <v>73</v>
      </c>
      <c r="E78" s="8" t="n">
        <v>2080</v>
      </c>
      <c r="F78" s="8" t="s">
        <v>72</v>
      </c>
      <c r="G78" s="9" t="str">
        <f aca="false">G64</f>
        <v>Vladivostok Commercial / Fish Port</v>
      </c>
      <c r="H78" s="10" t="s">
        <v>36</v>
      </c>
      <c r="I78" s="10" t="s">
        <v>37</v>
      </c>
      <c r="J78" s="10" t="s">
        <v>38</v>
      </c>
      <c r="K78" s="18" t="str">
        <f aca="false">K64</f>
        <v>8~9</v>
      </c>
      <c r="L78" s="9" t="str">
        <f aca="false">L64</f>
        <v>VIA BUSAN </v>
      </c>
      <c r="M78" s="10" t="n">
        <f aca="false">M64</f>
        <v>46081</v>
      </c>
      <c r="N78" s="12" t="str">
        <f aca="false">N64</f>
        <v>Include DTHC
Exclude DDF $50/bill</v>
      </c>
    </row>
    <row r="79" customFormat="false" ht="28.9" hidden="false" customHeight="false" outlineLevel="0" collapsed="false">
      <c r="A79" s="2"/>
      <c r="B79" s="7" t="s">
        <v>43</v>
      </c>
      <c r="C79" s="8" t="n">
        <v>1410</v>
      </c>
      <c r="D79" s="8" t="s">
        <v>73</v>
      </c>
      <c r="E79" s="8" t="n">
        <v>2350</v>
      </c>
      <c r="F79" s="8" t="s">
        <v>73</v>
      </c>
      <c r="G79" s="9" t="str">
        <f aca="false">G65</f>
        <v>Vladivostok Commercial Port</v>
      </c>
      <c r="H79" s="10" t="str">
        <f aca="false">H65</f>
        <v>FESCO DALNEGORSK HK734N
&amp; FESCO SOFIA HK735N</v>
      </c>
      <c r="I79" s="10" t="str">
        <f aca="false">I65</f>
        <v>2-Mar
&amp; 9-Mar</v>
      </c>
      <c r="J79" s="10" t="str">
        <f aca="false">J65</f>
        <v>5-Mar
&amp; 12-Mar</v>
      </c>
      <c r="K79" s="18" t="n">
        <f aca="false">K65</f>
        <v>4</v>
      </c>
      <c r="L79" s="9" t="str">
        <f aca="false">L65</f>
        <v>DIRECT</v>
      </c>
      <c r="M79" s="10" t="n">
        <f aca="false">M65</f>
        <v>46075</v>
      </c>
      <c r="N79" s="12" t="str">
        <f aca="false">N65</f>
        <v>Include DTHC $350/450
DTHC PP/CC Available</v>
      </c>
    </row>
    <row r="80" customFormat="false" ht="30" hidden="false" customHeight="true" outlineLevel="0" collapsed="false">
      <c r="A80" s="2"/>
      <c r="B80" s="7" t="s">
        <v>49</v>
      </c>
      <c r="C80" s="19" t="n">
        <v>1710</v>
      </c>
      <c r="D80" s="8" t="s">
        <v>72</v>
      </c>
      <c r="E80" s="8" t="n">
        <v>3860</v>
      </c>
      <c r="F80" s="8" t="s">
        <v>72</v>
      </c>
      <c r="G80" s="9" t="str">
        <f aca="false">G66</f>
        <v>Vladivostok Fish Port</v>
      </c>
      <c r="H80" s="25" t="str">
        <f aca="false">H66</f>
        <v>ZIM MOUNT RAINIER 11E</v>
      </c>
      <c r="I80" s="25" t="n">
        <f aca="false">I66</f>
        <v>46074</v>
      </c>
      <c r="J80" s="10" t="n">
        <f aca="false">J66</f>
        <v>46077</v>
      </c>
      <c r="K80" s="16" t="str">
        <f aca="false">K66</f>
        <v>6~7</v>
      </c>
      <c r="L80" s="9" t="str">
        <f aca="false">L66</f>
        <v>VIA BUSAN </v>
      </c>
      <c r="M80" s="20" t="n">
        <f aca="false">M66</f>
        <v>46081</v>
      </c>
      <c r="N80" s="12" t="str">
        <f aca="false">N66</f>
        <v>Include DTHC、DDF</v>
      </c>
    </row>
    <row r="81" customFormat="false" ht="42.75" hidden="false" customHeight="false" outlineLevel="0" collapsed="false">
      <c r="A81" s="2"/>
      <c r="B81" s="7" t="s">
        <v>54</v>
      </c>
      <c r="C81" s="8" t="n">
        <v>1385</v>
      </c>
      <c r="D81" s="8" t="s">
        <v>73</v>
      </c>
      <c r="E81" s="8" t="n">
        <v>1950</v>
      </c>
      <c r="F81" s="8" t="s">
        <v>73</v>
      </c>
      <c r="G81" s="12" t="s">
        <v>55</v>
      </c>
      <c r="H81" s="10" t="s">
        <v>56</v>
      </c>
      <c r="I81" s="10" t="s">
        <v>57</v>
      </c>
      <c r="J81" s="10" t="s">
        <v>58</v>
      </c>
      <c r="K81" s="18" t="str">
        <f aca="false">K67</f>
        <v>4~5</v>
      </c>
      <c r="L81" s="9" t="str">
        <f aca="false">L67</f>
        <v>DIRECT</v>
      </c>
      <c r="M81" s="10" t="n">
        <v>46096</v>
      </c>
      <c r="N81" s="9" t="str">
        <f aca="false">N67</f>
        <v>Include DTHC、DDF</v>
      </c>
    </row>
    <row r="82" customFormat="false" ht="28.9" hidden="false" customHeight="false" outlineLevel="0" collapsed="false">
      <c r="A82" s="2"/>
      <c r="B82" s="7" t="s">
        <v>60</v>
      </c>
      <c r="C82" s="8" t="s">
        <v>30</v>
      </c>
      <c r="D82" s="8" t="s">
        <v>73</v>
      </c>
      <c r="E82" s="8" t="s">
        <v>30</v>
      </c>
      <c r="F82" s="8" t="s">
        <v>73</v>
      </c>
      <c r="G82" s="9" t="str">
        <f aca="false">G11</f>
        <v>Vostochny</v>
      </c>
      <c r="H82" s="10" t="str">
        <f aca="false">H11</f>
        <v>HT GLORY
2603N</v>
      </c>
      <c r="I82" s="10" t="n">
        <f aca="false">I11</f>
        <v>46076</v>
      </c>
      <c r="J82" s="10" t="n">
        <f aca="false">J11</f>
        <v>46079</v>
      </c>
      <c r="K82" s="18" t="n">
        <v>6</v>
      </c>
      <c r="L82" s="9" t="s">
        <v>16</v>
      </c>
      <c r="M82" s="10" t="n">
        <v>46079</v>
      </c>
      <c r="N82" s="12" t="s">
        <v>63</v>
      </c>
    </row>
    <row r="83" customFormat="false" ht="28.9" hidden="false" customHeight="false" outlineLevel="0" collapsed="false">
      <c r="A83" s="2"/>
      <c r="B83" s="7" t="s">
        <v>64</v>
      </c>
      <c r="C83" s="19" t="n">
        <v>1275</v>
      </c>
      <c r="D83" s="8" t="s">
        <v>73</v>
      </c>
      <c r="E83" s="8" t="n">
        <v>1905</v>
      </c>
      <c r="F83" s="8" t="s">
        <v>73</v>
      </c>
      <c r="G83" s="9" t="str">
        <f aca="false">G69</f>
        <v>Vostochny</v>
      </c>
      <c r="H83" s="10" t="str">
        <f aca="false">H12</f>
        <v>BELLE ARIES
2607N</v>
      </c>
      <c r="I83" s="10" t="n">
        <f aca="false">I12</f>
        <v>46081</v>
      </c>
      <c r="J83" s="10" t="n">
        <f aca="false">J12</f>
        <v>46084</v>
      </c>
      <c r="K83" s="18" t="n">
        <f aca="false">K69</f>
        <v>6</v>
      </c>
      <c r="L83" s="9" t="str">
        <f aca="false">L69</f>
        <v>DIRECT</v>
      </c>
      <c r="M83" s="10" t="n">
        <f aca="false">M12</f>
        <v>46084</v>
      </c>
      <c r="N83" s="9" t="str">
        <f aca="false">N69</f>
        <v>Include DTHC、DDF</v>
      </c>
      <c r="O83" s="21"/>
    </row>
    <row r="84" customFormat="false" ht="28.9" hidden="false" customHeight="false" outlineLevel="0" collapsed="false">
      <c r="A84" s="2"/>
      <c r="B84" s="7" t="s">
        <v>66</v>
      </c>
      <c r="C84" s="8" t="n">
        <v>1080</v>
      </c>
      <c r="D84" s="8" t="s">
        <v>73</v>
      </c>
      <c r="E84" s="8" t="n">
        <v>1900</v>
      </c>
      <c r="F84" s="8" t="s">
        <v>73</v>
      </c>
      <c r="G84" s="17" t="str">
        <f aca="false">G13</f>
        <v>Nakhodka</v>
      </c>
      <c r="H84" s="10" t="str">
        <f aca="false">H13</f>
        <v>Hua Zheng Hai Gang
62603W</v>
      </c>
      <c r="I84" s="10" t="n">
        <f aca="false">I13</f>
        <v>46077</v>
      </c>
      <c r="J84" s="10" t="n">
        <f aca="false">J13</f>
        <v>46080</v>
      </c>
      <c r="K84" s="18" t="n">
        <f aca="false">K70</f>
        <v>4</v>
      </c>
      <c r="L84" s="9" t="str">
        <f aca="false">L70</f>
        <v>DIRECT</v>
      </c>
      <c r="M84" s="10" t="n">
        <f aca="false">M70</f>
        <v>46080</v>
      </c>
      <c r="N84" s="9" t="str">
        <f aca="false">N70</f>
        <v>Include DTHC、DDF</v>
      </c>
      <c r="O84" s="21" t="s">
        <v>75</v>
      </c>
    </row>
    <row r="85" customFormat="false" ht="13.5" hidden="false" customHeight="false" outlineLevel="0" collapsed="false">
      <c r="B85" s="23"/>
      <c r="G85" s="23"/>
      <c r="H85" s="23"/>
      <c r="I85" s="23"/>
      <c r="J85" s="23"/>
      <c r="K85" s="23"/>
      <c r="L85" s="23"/>
      <c r="M85" s="23"/>
      <c r="N85" s="23"/>
    </row>
    <row r="86" customFormat="false" ht="15.05" hidden="false" customHeight="true" outlineLevel="0" collapsed="false">
      <c r="A86" s="2" t="s">
        <v>80</v>
      </c>
      <c r="B86" s="26" t="s">
        <v>1</v>
      </c>
      <c r="C86" s="4" t="s">
        <v>70</v>
      </c>
      <c r="D86" s="4"/>
      <c r="E86" s="4" t="s">
        <v>71</v>
      </c>
      <c r="F86" s="4"/>
      <c r="G86" s="4" t="s">
        <v>4</v>
      </c>
      <c r="H86" s="4" t="s">
        <v>5</v>
      </c>
      <c r="I86" s="4" t="s">
        <v>6</v>
      </c>
      <c r="J86" s="4" t="s">
        <v>7</v>
      </c>
      <c r="K86" s="4" t="s">
        <v>8</v>
      </c>
      <c r="L86" s="4" t="s">
        <v>9</v>
      </c>
      <c r="M86" s="5" t="s">
        <v>10</v>
      </c>
      <c r="N86" s="5" t="s">
        <v>11</v>
      </c>
    </row>
    <row r="87" customFormat="false" ht="42.75" hidden="false" customHeight="false" outlineLevel="0" collapsed="false">
      <c r="A87" s="2"/>
      <c r="B87" s="4" t="s">
        <v>13</v>
      </c>
      <c r="C87" s="19" t="n">
        <v>1580</v>
      </c>
      <c r="D87" s="8" t="s">
        <v>72</v>
      </c>
      <c r="E87" s="8" t="n">
        <v>2450</v>
      </c>
      <c r="F87" s="8" t="s">
        <v>72</v>
      </c>
      <c r="G87" s="9" t="str">
        <f aca="false">G73</f>
        <v>Vladivostok Commercial Port</v>
      </c>
      <c r="H87" s="10" t="str">
        <f aca="false">H73</f>
        <v>HAI SHUN FENG 27
2603N</v>
      </c>
      <c r="I87" s="10" t="n">
        <f aca="false">I73</f>
        <v>46090</v>
      </c>
      <c r="J87" s="10" t="n">
        <f aca="false">J73</f>
        <v>46093</v>
      </c>
      <c r="K87" s="18" t="n">
        <f aca="false">K73</f>
        <v>4</v>
      </c>
      <c r="L87" s="9" t="str">
        <f aca="false">L73</f>
        <v>DIRECT</v>
      </c>
      <c r="M87" s="10" t="n">
        <f aca="false">M73</f>
        <v>46093</v>
      </c>
      <c r="N87" s="12" t="str">
        <f aca="false">N73</f>
        <v>Include DTHC $550/650
Exclude DDF $50/bill
DTHC&amp;DDF PP/CC Available</v>
      </c>
    </row>
    <row r="88" customFormat="false" ht="42.75" hidden="false" customHeight="false" outlineLevel="0" collapsed="false">
      <c r="A88" s="2"/>
      <c r="B88" s="4" t="s">
        <v>13</v>
      </c>
      <c r="C88" s="19" t="n">
        <v>1580</v>
      </c>
      <c r="D88" s="8" t="s">
        <v>72</v>
      </c>
      <c r="E88" s="8" t="n">
        <v>2350</v>
      </c>
      <c r="F88" s="8" t="s">
        <v>72</v>
      </c>
      <c r="G88" s="9" t="str">
        <f aca="false">G74</f>
        <v>VRANGEL BAY</v>
      </c>
      <c r="H88" s="10" t="str">
        <f aca="false">H74</f>
        <v>HAI SHUN FENG 27
2603N</v>
      </c>
      <c r="I88" s="10" t="n">
        <f aca="false">I74</f>
        <v>46090</v>
      </c>
      <c r="J88" s="10" t="n">
        <f aca="false">J74</f>
        <v>46093</v>
      </c>
      <c r="K88" s="18" t="n">
        <f aca="false">K74</f>
        <v>5</v>
      </c>
      <c r="L88" s="9" t="str">
        <f aca="false">L74</f>
        <v>DIRECT</v>
      </c>
      <c r="M88" s="10" t="n">
        <f aca="false">M74</f>
        <v>46093</v>
      </c>
      <c r="N88" s="12" t="str">
        <f aca="false">N74</f>
        <v>Include DTHC $550/650
Exclude DDF $50/bill
DTHC&amp;DDF PP/CC Available</v>
      </c>
    </row>
    <row r="89" customFormat="false" ht="28.9" hidden="false" customHeight="false" outlineLevel="0" collapsed="false">
      <c r="A89" s="2"/>
      <c r="B89" s="4" t="s">
        <v>21</v>
      </c>
      <c r="C89" s="19" t="n">
        <v>1590</v>
      </c>
      <c r="D89" s="8" t="s">
        <v>72</v>
      </c>
      <c r="E89" s="8" t="n">
        <v>2630</v>
      </c>
      <c r="F89" s="8" t="s">
        <v>72</v>
      </c>
      <c r="G89" s="9" t="str">
        <f aca="false">G75</f>
        <v>Vladivostok Commercial / Fish Port</v>
      </c>
      <c r="H89" s="10" t="str">
        <f aca="false">H75</f>
        <v>SURABAYA VOYAGER
9018E</v>
      </c>
      <c r="I89" s="10" t="n">
        <f aca="false">I75</f>
        <v>46066</v>
      </c>
      <c r="J89" s="10" t="n">
        <f aca="false">J75</f>
        <v>46069</v>
      </c>
      <c r="K89" s="18" t="str">
        <f aca="false">K75</f>
        <v>4~5</v>
      </c>
      <c r="L89" s="9" t="str">
        <f aca="false">L75</f>
        <v>DIRECT</v>
      </c>
      <c r="M89" s="10" t="n">
        <f aca="false">M75</f>
        <v>46069</v>
      </c>
      <c r="N89" s="12" t="str">
        <f aca="false">N75</f>
        <v>Include DTHC $550/650
DTHC PP/CC Available</v>
      </c>
    </row>
    <row r="90" customFormat="false" ht="28.9" hidden="false" customHeight="false" outlineLevel="0" collapsed="false">
      <c r="A90" s="2"/>
      <c r="B90" s="4" t="s">
        <v>27</v>
      </c>
      <c r="C90" s="19" t="n">
        <v>1590</v>
      </c>
      <c r="D90" s="8" t="s">
        <v>72</v>
      </c>
      <c r="E90" s="8" t="n">
        <v>2630</v>
      </c>
      <c r="F90" s="8" t="s">
        <v>72</v>
      </c>
      <c r="G90" s="9" t="str">
        <f aca="false">G76</f>
        <v>Vladivostok Commercial / Fish Port</v>
      </c>
      <c r="H90" s="10" t="str">
        <f aca="false">H76</f>
        <v>SURABAYA VOYAGER
9018E</v>
      </c>
      <c r="I90" s="10" t="n">
        <f aca="false">I76</f>
        <v>46066</v>
      </c>
      <c r="J90" s="10" t="n">
        <f aca="false">J76</f>
        <v>46069</v>
      </c>
      <c r="K90" s="18" t="str">
        <f aca="false">K76</f>
        <v>4~5</v>
      </c>
      <c r="L90" s="9" t="str">
        <f aca="false">L76</f>
        <v>DIRECT</v>
      </c>
      <c r="M90" s="10" t="n">
        <f aca="false">M76</f>
        <v>46069</v>
      </c>
      <c r="N90" s="12" t="str">
        <f aca="false">N76</f>
        <v>Include DTHC $550/650
DTHC PP/CC Available</v>
      </c>
    </row>
    <row r="91" customFormat="false" ht="42.75" hidden="false" customHeight="false" outlineLevel="0" collapsed="false">
      <c r="A91" s="2"/>
      <c r="B91" s="4" t="s">
        <v>29</v>
      </c>
      <c r="C91" s="8" t="s">
        <v>30</v>
      </c>
      <c r="D91" s="8" t="s">
        <v>73</v>
      </c>
      <c r="E91" s="8" t="s">
        <v>30</v>
      </c>
      <c r="F91" s="8" t="s">
        <v>73</v>
      </c>
      <c r="G91" s="9" t="str">
        <f aca="false">G77</f>
        <v>Vladivostok Commercial Port</v>
      </c>
      <c r="H91" s="10" t="str">
        <f aca="false">H77</f>
        <v>HAI SHUN FENG 27
2601N</v>
      </c>
      <c r="I91" s="10" t="n">
        <f aca="false">I77</f>
        <v>46054</v>
      </c>
      <c r="J91" s="10" t="n">
        <f aca="false">J77</f>
        <v>46057</v>
      </c>
      <c r="K91" s="18" t="str">
        <f aca="false">K77</f>
        <v>6~7</v>
      </c>
      <c r="L91" s="9" t="str">
        <f aca="false">L77</f>
        <v>DIRECT</v>
      </c>
      <c r="M91" s="10" t="n">
        <f aca="false">M77</f>
        <v>46081</v>
      </c>
      <c r="N91" s="12" t="str">
        <f aca="false">N77</f>
        <v>Include DTHC $400/500
DDF $50/bill
DTHC&amp;DDF PP/CC Available</v>
      </c>
    </row>
    <row r="92" customFormat="false" ht="42.75" hidden="false" customHeight="false" outlineLevel="0" collapsed="false">
      <c r="A92" s="2"/>
      <c r="B92" s="4" t="s">
        <v>35</v>
      </c>
      <c r="C92" s="19" t="n">
        <v>1755</v>
      </c>
      <c r="D92" s="8" t="s">
        <v>73</v>
      </c>
      <c r="E92" s="8" t="n">
        <v>2710</v>
      </c>
      <c r="F92" s="8" t="s">
        <v>73</v>
      </c>
      <c r="G92" s="9" t="str">
        <f aca="false">G78</f>
        <v>Vladivostok Commercial / Fish Port</v>
      </c>
      <c r="H92" s="10" t="s">
        <v>36</v>
      </c>
      <c r="I92" s="10" t="s">
        <v>37</v>
      </c>
      <c r="J92" s="10" t="s">
        <v>38</v>
      </c>
      <c r="K92" s="18" t="str">
        <f aca="false">K78</f>
        <v>8~9</v>
      </c>
      <c r="L92" s="9" t="str">
        <f aca="false">L78</f>
        <v>VIA BUSAN </v>
      </c>
      <c r="M92" s="10" t="n">
        <f aca="false">M78</f>
        <v>46081</v>
      </c>
      <c r="N92" s="12" t="str">
        <f aca="false">N78</f>
        <v>Include DTHC
Exclude DDF $50/bill</v>
      </c>
    </row>
    <row r="93" customFormat="false" ht="28.9" hidden="false" customHeight="false" outlineLevel="0" collapsed="false">
      <c r="A93" s="2"/>
      <c r="B93" s="4" t="s">
        <v>43</v>
      </c>
      <c r="C93" s="19" t="n">
        <v>1780</v>
      </c>
      <c r="D93" s="8" t="s">
        <v>73</v>
      </c>
      <c r="E93" s="8" t="n">
        <v>2780</v>
      </c>
      <c r="F93" s="8" t="s">
        <v>73</v>
      </c>
      <c r="G93" s="9" t="str">
        <f aca="false">G79</f>
        <v>Vladivostok Commercial Port</v>
      </c>
      <c r="H93" s="10" t="str">
        <f aca="false">H79</f>
        <v>FESCO DALNEGORSK HK734N
&amp; FESCO SOFIA HK735N</v>
      </c>
      <c r="I93" s="10" t="str">
        <f aca="false">I79</f>
        <v>2-Mar
&amp; 9-Mar</v>
      </c>
      <c r="J93" s="10" t="str">
        <f aca="false">J79</f>
        <v>5-Mar
&amp; 12-Mar</v>
      </c>
      <c r="K93" s="18" t="n">
        <f aca="false">K79</f>
        <v>4</v>
      </c>
      <c r="L93" s="9" t="str">
        <f aca="false">L79</f>
        <v>DIRECT</v>
      </c>
      <c r="M93" s="10" t="n">
        <f aca="false">M79</f>
        <v>46075</v>
      </c>
      <c r="N93" s="12" t="str">
        <f aca="false">N79</f>
        <v>Include DTHC $350/450
DTHC PP/CC Available</v>
      </c>
    </row>
    <row r="94" customFormat="false" ht="30" hidden="false" customHeight="true" outlineLevel="0" collapsed="false">
      <c r="A94" s="2"/>
      <c r="B94" s="4" t="s">
        <v>49</v>
      </c>
      <c r="C94" s="19" t="n">
        <v>1110</v>
      </c>
      <c r="D94" s="8" t="s">
        <v>72</v>
      </c>
      <c r="E94" s="8" t="n">
        <v>1860</v>
      </c>
      <c r="F94" s="8" t="s">
        <v>72</v>
      </c>
      <c r="G94" s="9" t="str">
        <f aca="false">G80</f>
        <v>Vladivostok Fish Port</v>
      </c>
      <c r="H94" s="10" t="str">
        <f aca="false">H80</f>
        <v>ZIM MOUNT RAINIER 11E</v>
      </c>
      <c r="I94" s="10" t="n">
        <f aca="false">I80</f>
        <v>46074</v>
      </c>
      <c r="J94" s="10" t="n">
        <f aca="false">J80</f>
        <v>46077</v>
      </c>
      <c r="K94" s="16" t="str">
        <f aca="false">K80</f>
        <v>6~7</v>
      </c>
      <c r="L94" s="9" t="str">
        <f aca="false">L80</f>
        <v>VIA BUSAN </v>
      </c>
      <c r="M94" s="20" t="n">
        <f aca="false">M80</f>
        <v>46081</v>
      </c>
      <c r="N94" s="12" t="str">
        <f aca="false">N80</f>
        <v>Include DTHC、DDF</v>
      </c>
    </row>
    <row r="95" customFormat="false" ht="42.75" hidden="false" customHeight="false" outlineLevel="0" collapsed="false">
      <c r="A95" s="2"/>
      <c r="B95" s="4" t="s">
        <v>54</v>
      </c>
      <c r="C95" s="8" t="n">
        <v>1755</v>
      </c>
      <c r="D95" s="8" t="s">
        <v>73</v>
      </c>
      <c r="E95" s="8" t="n">
        <v>2460</v>
      </c>
      <c r="F95" s="8" t="s">
        <v>73</v>
      </c>
      <c r="G95" s="12" t="s">
        <v>55</v>
      </c>
      <c r="H95" s="10" t="s">
        <v>56</v>
      </c>
      <c r="I95" s="10" t="s">
        <v>57</v>
      </c>
      <c r="J95" s="10" t="s">
        <v>58</v>
      </c>
      <c r="K95" s="18" t="str">
        <f aca="false">K81</f>
        <v>4~5</v>
      </c>
      <c r="L95" s="9" t="str">
        <f aca="false">L81</f>
        <v>DIRECT</v>
      </c>
      <c r="M95" s="10" t="n">
        <v>46096</v>
      </c>
      <c r="N95" s="9" t="str">
        <f aca="false">N81</f>
        <v>Include DTHC、DDF</v>
      </c>
    </row>
    <row r="96" customFormat="false" ht="28.9" hidden="false" customHeight="false" outlineLevel="0" collapsed="false">
      <c r="A96" s="2"/>
      <c r="B96" s="7" t="s">
        <v>60</v>
      </c>
      <c r="C96" s="8" t="s">
        <v>30</v>
      </c>
      <c r="D96" s="8" t="s">
        <v>73</v>
      </c>
      <c r="E96" s="8" t="n">
        <v>2230</v>
      </c>
      <c r="F96" s="8" t="s">
        <v>73</v>
      </c>
      <c r="G96" s="9" t="str">
        <f aca="false">G11</f>
        <v>Vostochny</v>
      </c>
      <c r="H96" s="10" t="str">
        <f aca="false">H11</f>
        <v>HT GLORY
2603N</v>
      </c>
      <c r="I96" s="10" t="n">
        <f aca="false">I11</f>
        <v>46076</v>
      </c>
      <c r="J96" s="10" t="n">
        <f aca="false">J11</f>
        <v>46079</v>
      </c>
      <c r="K96" s="18" t="n">
        <v>6</v>
      </c>
      <c r="L96" s="9" t="s">
        <v>16</v>
      </c>
      <c r="M96" s="10" t="n">
        <v>46079</v>
      </c>
      <c r="N96" s="12" t="s">
        <v>63</v>
      </c>
    </row>
    <row r="97" customFormat="false" ht="28.9" hidden="false" customHeight="false" outlineLevel="0" collapsed="false">
      <c r="A97" s="2"/>
      <c r="B97" s="4" t="s">
        <v>64</v>
      </c>
      <c r="C97" s="19" t="n">
        <v>1625</v>
      </c>
      <c r="D97" s="8" t="s">
        <v>73</v>
      </c>
      <c r="E97" s="8" t="n">
        <v>2435</v>
      </c>
      <c r="F97" s="8" t="s">
        <v>73</v>
      </c>
      <c r="G97" s="9" t="str">
        <f aca="false">G83</f>
        <v>Vostochny</v>
      </c>
      <c r="H97" s="10" t="str">
        <f aca="false">H12</f>
        <v>BELLE ARIES
2607N</v>
      </c>
      <c r="I97" s="10" t="n">
        <f aca="false">I12</f>
        <v>46081</v>
      </c>
      <c r="J97" s="10" t="n">
        <f aca="false">J12</f>
        <v>46084</v>
      </c>
      <c r="K97" s="18" t="n">
        <f aca="false">K83</f>
        <v>6</v>
      </c>
      <c r="L97" s="9" t="str">
        <f aca="false">L83</f>
        <v>DIRECT</v>
      </c>
      <c r="M97" s="10" t="n">
        <f aca="false">M12</f>
        <v>46084</v>
      </c>
      <c r="N97" s="9" t="str">
        <f aca="false">N83</f>
        <v>Include DTHC、DDF</v>
      </c>
      <c r="O97" s="21"/>
    </row>
    <row r="98" customFormat="false" ht="28.9" hidden="false" customHeight="false" outlineLevel="0" collapsed="false">
      <c r="A98" s="2"/>
      <c r="B98" s="4" t="s">
        <v>66</v>
      </c>
      <c r="C98" s="19" t="n">
        <v>1430</v>
      </c>
      <c r="D98" s="8" t="s">
        <v>73</v>
      </c>
      <c r="E98" s="8" t="n">
        <v>2430</v>
      </c>
      <c r="F98" s="8" t="s">
        <v>73</v>
      </c>
      <c r="G98" s="17" t="str">
        <f aca="false">G13</f>
        <v>Nakhodka</v>
      </c>
      <c r="H98" s="10" t="str">
        <f aca="false">H13</f>
        <v>Hua Zheng Hai Gang
62603W</v>
      </c>
      <c r="I98" s="10" t="n">
        <f aca="false">I13</f>
        <v>46077</v>
      </c>
      <c r="J98" s="10" t="n">
        <f aca="false">J13</f>
        <v>46080</v>
      </c>
      <c r="K98" s="18" t="n">
        <f aca="false">K84</f>
        <v>4</v>
      </c>
      <c r="L98" s="9" t="str">
        <f aca="false">L84</f>
        <v>DIRECT</v>
      </c>
      <c r="M98" s="10" t="n">
        <f aca="false">M84</f>
        <v>46080</v>
      </c>
      <c r="N98" s="9" t="str">
        <f aca="false">N84</f>
        <v>Include DTHC、DDF</v>
      </c>
      <c r="O98" s="21" t="s">
        <v>75</v>
      </c>
    </row>
    <row r="99" customFormat="false" ht="13.5" hidden="false" customHeight="false" outlineLevel="0" collapsed="false">
      <c r="A99" s="27"/>
      <c r="B99" s="28"/>
      <c r="G99" s="24"/>
      <c r="H99" s="24"/>
      <c r="I99" s="24"/>
      <c r="J99" s="24"/>
      <c r="K99" s="24"/>
      <c r="L99" s="24"/>
      <c r="M99" s="24"/>
      <c r="N99" s="24"/>
    </row>
    <row r="100" customFormat="false" ht="15.05" hidden="false" customHeight="true" outlineLevel="0" collapsed="false">
      <c r="A100" s="2" t="s">
        <v>81</v>
      </c>
      <c r="B100" s="26" t="s">
        <v>1</v>
      </c>
      <c r="C100" s="4" t="s">
        <v>70</v>
      </c>
      <c r="D100" s="4"/>
      <c r="E100" s="4" t="s">
        <v>71</v>
      </c>
      <c r="F100" s="4"/>
      <c r="G100" s="4" t="s">
        <v>4</v>
      </c>
      <c r="H100" s="4" t="s">
        <v>5</v>
      </c>
      <c r="I100" s="4" t="s">
        <v>6</v>
      </c>
      <c r="J100" s="4" t="s">
        <v>7</v>
      </c>
      <c r="K100" s="4" t="s">
        <v>8</v>
      </c>
      <c r="L100" s="4" t="s">
        <v>9</v>
      </c>
      <c r="M100" s="5" t="s">
        <v>10</v>
      </c>
      <c r="N100" s="5" t="s">
        <v>11</v>
      </c>
    </row>
    <row r="101" customFormat="false" ht="42.75" hidden="false" customHeight="false" outlineLevel="0" collapsed="false">
      <c r="A101" s="2"/>
      <c r="B101" s="4" t="s">
        <v>13</v>
      </c>
      <c r="C101" s="19" t="n">
        <v>1200</v>
      </c>
      <c r="D101" s="8" t="s">
        <v>72</v>
      </c>
      <c r="E101" s="8" t="n">
        <v>2050</v>
      </c>
      <c r="F101" s="8" t="s">
        <v>72</v>
      </c>
      <c r="G101" s="9" t="str">
        <f aca="false">G87</f>
        <v>Vladivostok Commercial Port</v>
      </c>
      <c r="H101" s="10" t="str">
        <f aca="false">H87</f>
        <v>HAI SHUN FENG 27
2603N</v>
      </c>
      <c r="I101" s="10" t="n">
        <f aca="false">I87</f>
        <v>46090</v>
      </c>
      <c r="J101" s="10" t="n">
        <f aca="false">J87</f>
        <v>46093</v>
      </c>
      <c r="K101" s="18" t="n">
        <f aca="false">K87</f>
        <v>4</v>
      </c>
      <c r="L101" s="9" t="str">
        <f aca="false">L87</f>
        <v>DIRECT</v>
      </c>
      <c r="M101" s="10" t="n">
        <f aca="false">M87</f>
        <v>46093</v>
      </c>
      <c r="N101" s="12" t="str">
        <f aca="false">N87</f>
        <v>Include DTHC $550/650
Exclude DDF $50/bill
DTHC&amp;DDF PP/CC Available</v>
      </c>
    </row>
    <row r="102" customFormat="false" ht="42.75" hidden="false" customHeight="false" outlineLevel="0" collapsed="false">
      <c r="A102" s="2"/>
      <c r="B102" s="4" t="s">
        <v>13</v>
      </c>
      <c r="C102" s="19" t="n">
        <v>1200</v>
      </c>
      <c r="D102" s="8" t="s">
        <v>72</v>
      </c>
      <c r="E102" s="8" t="n">
        <v>1950</v>
      </c>
      <c r="F102" s="8" t="s">
        <v>72</v>
      </c>
      <c r="G102" s="9" t="str">
        <f aca="false">G88</f>
        <v>VRANGEL BAY</v>
      </c>
      <c r="H102" s="10" t="str">
        <f aca="false">H88</f>
        <v>HAI SHUN FENG 27
2603N</v>
      </c>
      <c r="I102" s="10" t="n">
        <f aca="false">I88</f>
        <v>46090</v>
      </c>
      <c r="J102" s="10" t="n">
        <f aca="false">J88</f>
        <v>46093</v>
      </c>
      <c r="K102" s="18" t="n">
        <f aca="false">K88</f>
        <v>5</v>
      </c>
      <c r="L102" s="9" t="str">
        <f aca="false">L88</f>
        <v>DIRECT</v>
      </c>
      <c r="M102" s="10" t="n">
        <f aca="false">M88</f>
        <v>46093</v>
      </c>
      <c r="N102" s="12" t="str">
        <f aca="false">N88</f>
        <v>Include DTHC $550/650
Exclude DDF $50/bill
DTHC&amp;DDF PP/CC Available</v>
      </c>
    </row>
    <row r="103" customFormat="false" ht="28.9" hidden="false" customHeight="false" outlineLevel="0" collapsed="false">
      <c r="A103" s="2"/>
      <c r="B103" s="4" t="s">
        <v>21</v>
      </c>
      <c r="C103" s="19" t="n">
        <v>1240</v>
      </c>
      <c r="D103" s="8" t="s">
        <v>73</v>
      </c>
      <c r="E103" s="8" t="n">
        <v>2130</v>
      </c>
      <c r="F103" s="8" t="s">
        <v>72</v>
      </c>
      <c r="G103" s="9" t="str">
        <f aca="false">G89</f>
        <v>Vladivostok Commercial / Fish Port</v>
      </c>
      <c r="H103" s="10" t="str">
        <f aca="false">H89</f>
        <v>SURABAYA VOYAGER
9018E</v>
      </c>
      <c r="I103" s="10" t="n">
        <f aca="false">I89</f>
        <v>46066</v>
      </c>
      <c r="J103" s="10" t="n">
        <f aca="false">J89</f>
        <v>46069</v>
      </c>
      <c r="K103" s="18" t="str">
        <f aca="false">K89</f>
        <v>4~5</v>
      </c>
      <c r="L103" s="9" t="str">
        <f aca="false">L89</f>
        <v>DIRECT</v>
      </c>
      <c r="M103" s="10" t="n">
        <f aca="false">M89</f>
        <v>46069</v>
      </c>
      <c r="N103" s="12" t="str">
        <f aca="false">N89</f>
        <v>Include DTHC $550/650
DTHC PP/CC Available</v>
      </c>
    </row>
    <row r="104" customFormat="false" ht="28.9" hidden="false" customHeight="false" outlineLevel="0" collapsed="false">
      <c r="A104" s="2"/>
      <c r="B104" s="4" t="s">
        <v>27</v>
      </c>
      <c r="C104" s="19" t="n">
        <v>1240</v>
      </c>
      <c r="D104" s="8" t="s">
        <v>73</v>
      </c>
      <c r="E104" s="8" t="n">
        <v>2130</v>
      </c>
      <c r="F104" s="8" t="s">
        <v>72</v>
      </c>
      <c r="G104" s="9" t="str">
        <f aca="false">G90</f>
        <v>Vladivostok Commercial / Fish Port</v>
      </c>
      <c r="H104" s="10" t="str">
        <f aca="false">H90</f>
        <v>SURABAYA VOYAGER
9018E</v>
      </c>
      <c r="I104" s="10" t="n">
        <f aca="false">I90</f>
        <v>46066</v>
      </c>
      <c r="J104" s="10" t="n">
        <f aca="false">J90</f>
        <v>46069</v>
      </c>
      <c r="K104" s="18" t="str">
        <f aca="false">K90</f>
        <v>4~5</v>
      </c>
      <c r="L104" s="9" t="str">
        <f aca="false">L90</f>
        <v>DIRECT</v>
      </c>
      <c r="M104" s="10" t="n">
        <f aca="false">M90</f>
        <v>46069</v>
      </c>
      <c r="N104" s="12" t="str">
        <f aca="false">N90</f>
        <v>Include DTHC $550/650
DTHC PP/CC Available</v>
      </c>
    </row>
    <row r="105" customFormat="false" ht="42.75" hidden="false" customHeight="false" outlineLevel="0" collapsed="false">
      <c r="A105" s="2"/>
      <c r="B105" s="4" t="s">
        <v>29</v>
      </c>
      <c r="C105" s="8" t="s">
        <v>30</v>
      </c>
      <c r="D105" s="8" t="s">
        <v>73</v>
      </c>
      <c r="E105" s="8" t="s">
        <v>30</v>
      </c>
      <c r="F105" s="8" t="s">
        <v>73</v>
      </c>
      <c r="G105" s="9" t="str">
        <f aca="false">G91</f>
        <v>Vladivostok Commercial Port</v>
      </c>
      <c r="H105" s="10" t="str">
        <f aca="false">H91</f>
        <v>HAI SHUN FENG 27
2601N</v>
      </c>
      <c r="I105" s="10" t="n">
        <f aca="false">I91</f>
        <v>46054</v>
      </c>
      <c r="J105" s="10" t="n">
        <f aca="false">J91</f>
        <v>46057</v>
      </c>
      <c r="K105" s="18" t="str">
        <f aca="false">K91</f>
        <v>6~7</v>
      </c>
      <c r="L105" s="9" t="str">
        <f aca="false">L91</f>
        <v>DIRECT</v>
      </c>
      <c r="M105" s="10" t="n">
        <f aca="false">M91</f>
        <v>46081</v>
      </c>
      <c r="N105" s="12" t="str">
        <f aca="false">N91</f>
        <v>Include DTHC $400/500
DDF $50/bill
DTHC&amp;DDF PP/CC Available</v>
      </c>
    </row>
    <row r="106" customFormat="false" ht="42.75" hidden="false" customHeight="false" outlineLevel="0" collapsed="false">
      <c r="A106" s="2"/>
      <c r="B106" s="4" t="s">
        <v>35</v>
      </c>
      <c r="C106" s="19" t="n">
        <v>1355</v>
      </c>
      <c r="D106" s="8" t="s">
        <v>73</v>
      </c>
      <c r="E106" s="8" t="n">
        <v>1980</v>
      </c>
      <c r="F106" s="8" t="s">
        <v>72</v>
      </c>
      <c r="G106" s="9" t="str">
        <f aca="false">G92</f>
        <v>Vladivostok Commercial / Fish Port</v>
      </c>
      <c r="H106" s="10" t="s">
        <v>36</v>
      </c>
      <c r="I106" s="10" t="s">
        <v>37</v>
      </c>
      <c r="J106" s="10" t="s">
        <v>38</v>
      </c>
      <c r="K106" s="18" t="str">
        <f aca="false">K92</f>
        <v>8~9</v>
      </c>
      <c r="L106" s="9" t="str">
        <f aca="false">L92</f>
        <v>VIA BUSAN </v>
      </c>
      <c r="M106" s="10" t="n">
        <f aca="false">M92</f>
        <v>46081</v>
      </c>
      <c r="N106" s="12" t="str">
        <f aca="false">N92</f>
        <v>Include DTHC
Exclude DDF $50/bill</v>
      </c>
    </row>
    <row r="107" customFormat="false" ht="28.9" hidden="false" customHeight="false" outlineLevel="0" collapsed="false">
      <c r="A107" s="2"/>
      <c r="B107" s="4" t="s">
        <v>43</v>
      </c>
      <c r="C107" s="19" t="n">
        <v>1380</v>
      </c>
      <c r="D107" s="8" t="s">
        <v>73</v>
      </c>
      <c r="E107" s="8" t="n">
        <v>2250</v>
      </c>
      <c r="F107" s="8" t="s">
        <v>73</v>
      </c>
      <c r="G107" s="9" t="str">
        <f aca="false">G93</f>
        <v>Vladivostok Commercial Port</v>
      </c>
      <c r="H107" s="10" t="str">
        <f aca="false">H93</f>
        <v>FESCO DALNEGORSK HK734N
&amp; FESCO SOFIA HK735N</v>
      </c>
      <c r="I107" s="10" t="str">
        <f aca="false">I93</f>
        <v>2-Mar
&amp; 9-Mar</v>
      </c>
      <c r="J107" s="10" t="str">
        <f aca="false">J93</f>
        <v>5-Mar
&amp; 12-Mar</v>
      </c>
      <c r="K107" s="18" t="n">
        <f aca="false">K93</f>
        <v>4</v>
      </c>
      <c r="L107" s="9" t="str">
        <f aca="false">L93</f>
        <v>DIRECT</v>
      </c>
      <c r="M107" s="10" t="n">
        <f aca="false">M93</f>
        <v>46075</v>
      </c>
      <c r="N107" s="12" t="str">
        <f aca="false">N93</f>
        <v>Include DTHC $350/450
DTHC PP/CC Available</v>
      </c>
    </row>
    <row r="108" customFormat="false" ht="30" hidden="false" customHeight="true" outlineLevel="0" collapsed="false">
      <c r="A108" s="2"/>
      <c r="B108" s="4" t="s">
        <v>49</v>
      </c>
      <c r="C108" s="19" t="n">
        <v>1210</v>
      </c>
      <c r="D108" s="8" t="s">
        <v>72</v>
      </c>
      <c r="E108" s="8" t="n">
        <v>3860</v>
      </c>
      <c r="F108" s="8" t="s">
        <v>72</v>
      </c>
      <c r="G108" s="9" t="str">
        <f aca="false">G94</f>
        <v>Vladivostok Fish Port</v>
      </c>
      <c r="H108" s="10" t="str">
        <f aca="false">H94</f>
        <v>ZIM MOUNT RAINIER 11E</v>
      </c>
      <c r="I108" s="10" t="n">
        <f aca="false">I94</f>
        <v>46074</v>
      </c>
      <c r="J108" s="10" t="n">
        <f aca="false">J94</f>
        <v>46077</v>
      </c>
      <c r="K108" s="16" t="str">
        <f aca="false">K94</f>
        <v>6~7</v>
      </c>
      <c r="L108" s="9" t="str">
        <f aca="false">L94</f>
        <v>VIA BUSAN </v>
      </c>
      <c r="M108" s="20" t="n">
        <f aca="false">M94</f>
        <v>46081</v>
      </c>
      <c r="N108" s="12" t="str">
        <f aca="false">N94</f>
        <v>Include DTHC、DDF</v>
      </c>
    </row>
    <row r="109" customFormat="false" ht="42.75" hidden="false" customHeight="false" outlineLevel="0" collapsed="false">
      <c r="A109" s="2"/>
      <c r="B109" s="4" t="s">
        <v>54</v>
      </c>
      <c r="C109" s="8" t="n">
        <v>1355</v>
      </c>
      <c r="D109" s="8" t="s">
        <v>73</v>
      </c>
      <c r="E109" s="8" t="n">
        <v>1850</v>
      </c>
      <c r="F109" s="8" t="s">
        <v>73</v>
      </c>
      <c r="G109" s="12" t="s">
        <v>55</v>
      </c>
      <c r="H109" s="10" t="s">
        <v>56</v>
      </c>
      <c r="I109" s="10" t="s">
        <v>57</v>
      </c>
      <c r="J109" s="10" t="s">
        <v>58</v>
      </c>
      <c r="K109" s="18" t="str">
        <f aca="false">K95</f>
        <v>4~5</v>
      </c>
      <c r="L109" s="9" t="str">
        <f aca="false">L95</f>
        <v>DIRECT</v>
      </c>
      <c r="M109" s="10" t="n">
        <v>46096</v>
      </c>
      <c r="N109" s="9" t="str">
        <f aca="false">N95</f>
        <v>Include DTHC、DDF</v>
      </c>
    </row>
    <row r="110" customFormat="false" ht="28.9" hidden="false" customHeight="false" outlineLevel="0" collapsed="false">
      <c r="A110" s="2"/>
      <c r="B110" s="7" t="s">
        <v>60</v>
      </c>
      <c r="C110" s="8" t="s">
        <v>30</v>
      </c>
      <c r="D110" s="8" t="s">
        <v>73</v>
      </c>
      <c r="E110" s="8" t="s">
        <v>30</v>
      </c>
      <c r="F110" s="8" t="s">
        <v>73</v>
      </c>
      <c r="G110" s="9" t="str">
        <f aca="false">G11</f>
        <v>Vostochny</v>
      </c>
      <c r="H110" s="10" t="str">
        <f aca="false">H11</f>
        <v>HT GLORY
2603N</v>
      </c>
      <c r="I110" s="10" t="n">
        <f aca="false">I11</f>
        <v>46076</v>
      </c>
      <c r="J110" s="10" t="n">
        <f aca="false">J11</f>
        <v>46079</v>
      </c>
      <c r="K110" s="18" t="n">
        <v>6</v>
      </c>
      <c r="L110" s="9" t="s">
        <v>16</v>
      </c>
      <c r="M110" s="10" t="n">
        <v>46079</v>
      </c>
      <c r="N110" s="12" t="s">
        <v>63</v>
      </c>
    </row>
    <row r="111" customFormat="false" ht="28.9" hidden="false" customHeight="false" outlineLevel="0" collapsed="false">
      <c r="A111" s="2"/>
      <c r="B111" s="4" t="s">
        <v>64</v>
      </c>
      <c r="C111" s="19" t="n">
        <v>1245</v>
      </c>
      <c r="D111" s="8" t="s">
        <v>73</v>
      </c>
      <c r="E111" s="8" t="n">
        <v>1875</v>
      </c>
      <c r="F111" s="8" t="s">
        <v>73</v>
      </c>
      <c r="G111" s="9" t="str">
        <f aca="false">G97</f>
        <v>Vostochny</v>
      </c>
      <c r="H111" s="10" t="str">
        <f aca="false">H12</f>
        <v>BELLE ARIES
2607N</v>
      </c>
      <c r="I111" s="10" t="n">
        <f aca="false">I12</f>
        <v>46081</v>
      </c>
      <c r="J111" s="10" t="n">
        <f aca="false">J12</f>
        <v>46084</v>
      </c>
      <c r="K111" s="18" t="n">
        <f aca="false">K97</f>
        <v>6</v>
      </c>
      <c r="L111" s="9" t="str">
        <f aca="false">L97</f>
        <v>DIRECT</v>
      </c>
      <c r="M111" s="10" t="n">
        <f aca="false">M12</f>
        <v>46084</v>
      </c>
      <c r="N111" s="9" t="str">
        <f aca="false">N97</f>
        <v>Include DTHC、DDF</v>
      </c>
      <c r="O111" s="21"/>
    </row>
    <row r="112" customFormat="false" ht="28.9" hidden="false" customHeight="false" outlineLevel="0" collapsed="false">
      <c r="A112" s="2"/>
      <c r="B112" s="4" t="s">
        <v>66</v>
      </c>
      <c r="C112" s="19" t="n">
        <v>1050</v>
      </c>
      <c r="D112" s="8" t="s">
        <v>73</v>
      </c>
      <c r="E112" s="8" t="n">
        <v>1800</v>
      </c>
      <c r="F112" s="8" t="s">
        <v>73</v>
      </c>
      <c r="G112" s="17" t="str">
        <f aca="false">G13</f>
        <v>Nakhodka</v>
      </c>
      <c r="H112" s="10" t="str">
        <f aca="false">H13</f>
        <v>Hua Zheng Hai Gang
62603W</v>
      </c>
      <c r="I112" s="10" t="n">
        <f aca="false">I13</f>
        <v>46077</v>
      </c>
      <c r="J112" s="10" t="n">
        <f aca="false">J13</f>
        <v>46080</v>
      </c>
      <c r="K112" s="18" t="n">
        <f aca="false">K98</f>
        <v>4</v>
      </c>
      <c r="L112" s="9" t="str">
        <f aca="false">L98</f>
        <v>DIRECT</v>
      </c>
      <c r="M112" s="10" t="n">
        <f aca="false">M98</f>
        <v>46080</v>
      </c>
      <c r="N112" s="9" t="str">
        <f aca="false">N98</f>
        <v>Include DTHC、DDF</v>
      </c>
      <c r="O112" s="21" t="s">
        <v>75</v>
      </c>
    </row>
    <row r="113" customFormat="false" ht="13.5" hidden="false" customHeight="false" outlineLevel="0" collapsed="false">
      <c r="A113" s="27"/>
      <c r="B113" s="27"/>
    </row>
    <row r="114" customFormat="false" ht="15.05" hidden="false" customHeight="true" outlineLevel="0" collapsed="false">
      <c r="A114" s="2" t="s">
        <v>82</v>
      </c>
      <c r="B114" s="26" t="s">
        <v>1</v>
      </c>
      <c r="C114" s="4" t="s">
        <v>70</v>
      </c>
      <c r="D114" s="4"/>
      <c r="E114" s="4" t="s">
        <v>71</v>
      </c>
      <c r="F114" s="4"/>
      <c r="G114" s="4" t="s">
        <v>4</v>
      </c>
      <c r="H114" s="4" t="s">
        <v>5</v>
      </c>
      <c r="I114" s="4" t="s">
        <v>6</v>
      </c>
      <c r="J114" s="4" t="s">
        <v>7</v>
      </c>
      <c r="K114" s="4" t="s">
        <v>8</v>
      </c>
      <c r="L114" s="4" t="s">
        <v>9</v>
      </c>
      <c r="M114" s="5" t="s">
        <v>10</v>
      </c>
      <c r="N114" s="5" t="s">
        <v>11</v>
      </c>
    </row>
    <row r="115" customFormat="false" ht="42.75" hidden="false" customHeight="false" outlineLevel="0" collapsed="false">
      <c r="A115" s="2"/>
      <c r="B115" s="4" t="s">
        <v>13</v>
      </c>
      <c r="C115" s="19" t="n">
        <v>1500</v>
      </c>
      <c r="D115" s="8" t="s">
        <v>72</v>
      </c>
      <c r="E115" s="8" t="n">
        <v>2300</v>
      </c>
      <c r="F115" s="8" t="s">
        <v>72</v>
      </c>
      <c r="G115" s="9" t="str">
        <f aca="false">G101</f>
        <v>Vladivostok Commercial Port</v>
      </c>
      <c r="H115" s="10" t="str">
        <f aca="false">H101</f>
        <v>HAI SHUN FENG 27
2603N</v>
      </c>
      <c r="I115" s="10" t="n">
        <f aca="false">I101</f>
        <v>46090</v>
      </c>
      <c r="J115" s="10" t="n">
        <f aca="false">J101</f>
        <v>46093</v>
      </c>
      <c r="K115" s="18" t="n">
        <f aca="false">K101</f>
        <v>4</v>
      </c>
      <c r="L115" s="9" t="str">
        <f aca="false">L101</f>
        <v>DIRECT</v>
      </c>
      <c r="M115" s="10" t="n">
        <f aca="false">M101</f>
        <v>46093</v>
      </c>
      <c r="N115" s="12" t="str">
        <f aca="false">N101</f>
        <v>Include DTHC $550/650
Exclude DDF $50/bill
DTHC&amp;DDF PP/CC Available</v>
      </c>
    </row>
    <row r="116" customFormat="false" ht="42.75" hidden="false" customHeight="false" outlineLevel="0" collapsed="false">
      <c r="A116" s="2"/>
      <c r="B116" s="4" t="s">
        <v>13</v>
      </c>
      <c r="C116" s="19" t="n">
        <v>1500</v>
      </c>
      <c r="D116" s="8" t="s">
        <v>72</v>
      </c>
      <c r="E116" s="8" t="n">
        <v>2200</v>
      </c>
      <c r="F116" s="8" t="s">
        <v>72</v>
      </c>
      <c r="G116" s="9" t="str">
        <f aca="false">G102</f>
        <v>VRANGEL BAY</v>
      </c>
      <c r="H116" s="10" t="str">
        <f aca="false">H102</f>
        <v>HAI SHUN FENG 27
2603N</v>
      </c>
      <c r="I116" s="10" t="n">
        <f aca="false">I102</f>
        <v>46090</v>
      </c>
      <c r="J116" s="10" t="n">
        <f aca="false">J102</f>
        <v>46093</v>
      </c>
      <c r="K116" s="18" t="n">
        <f aca="false">K102</f>
        <v>5</v>
      </c>
      <c r="L116" s="9" t="str">
        <f aca="false">L102</f>
        <v>DIRECT</v>
      </c>
      <c r="M116" s="10" t="n">
        <f aca="false">M102</f>
        <v>46093</v>
      </c>
      <c r="N116" s="12" t="str">
        <f aca="false">N102</f>
        <v>Include DTHC $550/650
Exclude DDF $50/bill
DTHC&amp;DDF PP/CC Available</v>
      </c>
    </row>
    <row r="117" customFormat="false" ht="28.9" hidden="false" customHeight="false" outlineLevel="0" collapsed="false">
      <c r="A117" s="2"/>
      <c r="B117" s="4" t="s">
        <v>21</v>
      </c>
      <c r="C117" s="19" t="n">
        <v>1540</v>
      </c>
      <c r="D117" s="8" t="s">
        <v>73</v>
      </c>
      <c r="E117" s="8" t="n">
        <v>1930</v>
      </c>
      <c r="F117" s="8" t="s">
        <v>72</v>
      </c>
      <c r="G117" s="9" t="str">
        <f aca="false">G103</f>
        <v>Vladivostok Commercial / Fish Port</v>
      </c>
      <c r="H117" s="10" t="str">
        <f aca="false">H103</f>
        <v>SURABAYA VOYAGER
9018E</v>
      </c>
      <c r="I117" s="10" t="n">
        <f aca="false">I103</f>
        <v>46066</v>
      </c>
      <c r="J117" s="10" t="n">
        <f aca="false">J103</f>
        <v>46069</v>
      </c>
      <c r="K117" s="18" t="str">
        <f aca="false">K103</f>
        <v>4~5</v>
      </c>
      <c r="L117" s="9" t="str">
        <f aca="false">L103</f>
        <v>DIRECT</v>
      </c>
      <c r="M117" s="10" t="n">
        <f aca="false">M103</f>
        <v>46069</v>
      </c>
      <c r="N117" s="12" t="str">
        <f aca="false">N103</f>
        <v>Include DTHC $550/650
DTHC PP/CC Available</v>
      </c>
    </row>
    <row r="118" customFormat="false" ht="28.9" hidden="false" customHeight="false" outlineLevel="0" collapsed="false">
      <c r="A118" s="2"/>
      <c r="B118" s="4" t="s">
        <v>27</v>
      </c>
      <c r="C118" s="19" t="n">
        <v>1540</v>
      </c>
      <c r="D118" s="8" t="s">
        <v>73</v>
      </c>
      <c r="E118" s="8" t="n">
        <v>1930</v>
      </c>
      <c r="F118" s="8" t="s">
        <v>72</v>
      </c>
      <c r="G118" s="9" t="str">
        <f aca="false">G104</f>
        <v>Vladivostok Commercial / Fish Port</v>
      </c>
      <c r="H118" s="10" t="str">
        <f aca="false">H104</f>
        <v>SURABAYA VOYAGER
9018E</v>
      </c>
      <c r="I118" s="10" t="n">
        <f aca="false">I104</f>
        <v>46066</v>
      </c>
      <c r="J118" s="10" t="n">
        <f aca="false">J104</f>
        <v>46069</v>
      </c>
      <c r="K118" s="18" t="str">
        <f aca="false">K104</f>
        <v>4~5</v>
      </c>
      <c r="L118" s="9" t="str">
        <f aca="false">L104</f>
        <v>DIRECT</v>
      </c>
      <c r="M118" s="10" t="n">
        <f aca="false">M104</f>
        <v>46069</v>
      </c>
      <c r="N118" s="12" t="str">
        <f aca="false">N104</f>
        <v>Include DTHC $550/650
DTHC PP/CC Available</v>
      </c>
    </row>
    <row r="119" customFormat="false" ht="42.75" hidden="false" customHeight="false" outlineLevel="0" collapsed="false">
      <c r="A119" s="2"/>
      <c r="B119" s="4" t="s">
        <v>29</v>
      </c>
      <c r="C119" s="8" t="s">
        <v>30</v>
      </c>
      <c r="D119" s="8" t="s">
        <v>73</v>
      </c>
      <c r="E119" s="8" t="s">
        <v>30</v>
      </c>
      <c r="F119" s="8" t="s">
        <v>73</v>
      </c>
      <c r="G119" s="9" t="str">
        <f aca="false">G105</f>
        <v>Vladivostok Commercial Port</v>
      </c>
      <c r="H119" s="10" t="str">
        <f aca="false">H105</f>
        <v>HAI SHUN FENG 27
2601N</v>
      </c>
      <c r="I119" s="10" t="n">
        <f aca="false">I105</f>
        <v>46054</v>
      </c>
      <c r="J119" s="10" t="n">
        <f aca="false">J105</f>
        <v>46057</v>
      </c>
      <c r="K119" s="18" t="str">
        <f aca="false">K105</f>
        <v>6~7</v>
      </c>
      <c r="L119" s="9" t="str">
        <f aca="false">L105</f>
        <v>DIRECT</v>
      </c>
      <c r="M119" s="10" t="n">
        <f aca="false">M105</f>
        <v>46081</v>
      </c>
      <c r="N119" s="12" t="str">
        <f aca="false">N105</f>
        <v>Include DTHC $400/500
DDF $50/bill
DTHC&amp;DDF PP/CC Available</v>
      </c>
    </row>
    <row r="120" customFormat="false" ht="42.75" hidden="false" customHeight="false" outlineLevel="0" collapsed="false">
      <c r="A120" s="2"/>
      <c r="B120" s="4" t="s">
        <v>35</v>
      </c>
      <c r="C120" s="19" t="n">
        <v>1655</v>
      </c>
      <c r="D120" s="8" t="s">
        <v>73</v>
      </c>
      <c r="E120" s="8" t="n">
        <v>2030</v>
      </c>
      <c r="F120" s="8" t="s">
        <v>72</v>
      </c>
      <c r="G120" s="9" t="str">
        <f aca="false">G106</f>
        <v>Vladivostok Commercial / Fish Port</v>
      </c>
      <c r="H120" s="10" t="s">
        <v>36</v>
      </c>
      <c r="I120" s="10" t="s">
        <v>37</v>
      </c>
      <c r="J120" s="10" t="s">
        <v>38</v>
      </c>
      <c r="K120" s="18" t="str">
        <f aca="false">K106</f>
        <v>8~9</v>
      </c>
      <c r="L120" s="9" t="str">
        <f aca="false">L106</f>
        <v>VIA BUSAN </v>
      </c>
      <c r="M120" s="10" t="n">
        <f aca="false">M106</f>
        <v>46081</v>
      </c>
      <c r="N120" s="12" t="str">
        <f aca="false">N106</f>
        <v>Include DTHC
Exclude DDF $50/bill</v>
      </c>
    </row>
    <row r="121" customFormat="false" ht="28.9" hidden="false" customHeight="false" outlineLevel="0" collapsed="false">
      <c r="A121" s="2"/>
      <c r="B121" s="4" t="s">
        <v>43</v>
      </c>
      <c r="C121" s="19" t="n">
        <v>1680</v>
      </c>
      <c r="D121" s="8" t="s">
        <v>73</v>
      </c>
      <c r="E121" s="8" t="n">
        <v>2600</v>
      </c>
      <c r="F121" s="8" t="s">
        <v>73</v>
      </c>
      <c r="G121" s="9" t="str">
        <f aca="false">G107</f>
        <v>Vladivostok Commercial Port</v>
      </c>
      <c r="H121" s="10" t="str">
        <f aca="false">H107</f>
        <v>FESCO DALNEGORSK HK734N
&amp; FESCO SOFIA HK735N</v>
      </c>
      <c r="I121" s="10" t="str">
        <f aca="false">I107</f>
        <v>2-Mar
&amp; 9-Mar</v>
      </c>
      <c r="J121" s="10" t="str">
        <f aca="false">J107</f>
        <v>5-Mar
&amp; 12-Mar</v>
      </c>
      <c r="K121" s="18" t="n">
        <f aca="false">K107</f>
        <v>4</v>
      </c>
      <c r="L121" s="9" t="str">
        <f aca="false">L107</f>
        <v>DIRECT</v>
      </c>
      <c r="M121" s="10" t="n">
        <f aca="false">M107</f>
        <v>46075</v>
      </c>
      <c r="N121" s="12" t="str">
        <f aca="false">N107</f>
        <v>Include DTHC $350/450
DTHC PP/CC Available</v>
      </c>
    </row>
    <row r="122" customFormat="false" ht="30" hidden="false" customHeight="true" outlineLevel="0" collapsed="false">
      <c r="A122" s="2"/>
      <c r="B122" s="4" t="s">
        <v>49</v>
      </c>
      <c r="C122" s="19" t="s">
        <v>30</v>
      </c>
      <c r="D122" s="8" t="s">
        <v>30</v>
      </c>
      <c r="E122" s="8" t="s">
        <v>30</v>
      </c>
      <c r="F122" s="8" t="s">
        <v>30</v>
      </c>
      <c r="G122" s="9" t="str">
        <f aca="false">G108</f>
        <v>Vladivostok Fish Port</v>
      </c>
      <c r="H122" s="25" t="str">
        <f aca="false">H108</f>
        <v>ZIM MOUNT RAINIER 11E</v>
      </c>
      <c r="I122" s="25" t="n">
        <f aca="false">I108</f>
        <v>46074</v>
      </c>
      <c r="J122" s="10" t="n">
        <f aca="false">J108</f>
        <v>46077</v>
      </c>
      <c r="K122" s="16" t="str">
        <f aca="false">K108</f>
        <v>6~7</v>
      </c>
      <c r="L122" s="9" t="str">
        <f aca="false">L108</f>
        <v>VIA BUSAN </v>
      </c>
      <c r="M122" s="20" t="n">
        <f aca="false">M108</f>
        <v>46081</v>
      </c>
      <c r="N122" s="12" t="str">
        <f aca="false">N108</f>
        <v>Include DTHC、DDF</v>
      </c>
    </row>
    <row r="123" customFormat="false" ht="42.75" hidden="false" customHeight="false" outlineLevel="0" collapsed="false">
      <c r="A123" s="2"/>
      <c r="B123" s="4" t="s">
        <v>54</v>
      </c>
      <c r="C123" s="8" t="n">
        <v>1655</v>
      </c>
      <c r="D123" s="8" t="s">
        <v>73</v>
      </c>
      <c r="E123" s="8" t="n">
        <v>2280</v>
      </c>
      <c r="F123" s="8" t="s">
        <v>73</v>
      </c>
      <c r="G123" s="12" t="s">
        <v>55</v>
      </c>
      <c r="H123" s="10" t="s">
        <v>56</v>
      </c>
      <c r="I123" s="10" t="s">
        <v>57</v>
      </c>
      <c r="J123" s="10" t="s">
        <v>58</v>
      </c>
      <c r="K123" s="18" t="str">
        <f aca="false">K109</f>
        <v>4~5</v>
      </c>
      <c r="L123" s="9" t="str">
        <f aca="false">L109</f>
        <v>DIRECT</v>
      </c>
      <c r="M123" s="10" t="n">
        <v>46096</v>
      </c>
      <c r="N123" s="9" t="str">
        <f aca="false">N109</f>
        <v>Include DTHC、DDF</v>
      </c>
    </row>
    <row r="124" customFormat="false" ht="28.9" hidden="false" customHeight="false" outlineLevel="0" collapsed="false">
      <c r="A124" s="2"/>
      <c r="B124" s="7" t="s">
        <v>60</v>
      </c>
      <c r="C124" s="8" t="s">
        <v>30</v>
      </c>
      <c r="D124" s="8" t="s">
        <v>73</v>
      </c>
      <c r="E124" s="8" t="s">
        <v>30</v>
      </c>
      <c r="F124" s="8" t="s">
        <v>73</v>
      </c>
      <c r="G124" s="9" t="str">
        <f aca="false">G11</f>
        <v>Vostochny</v>
      </c>
      <c r="H124" s="10" t="str">
        <f aca="false">H11</f>
        <v>HT GLORY
2603N</v>
      </c>
      <c r="I124" s="10" t="n">
        <f aca="false">I11</f>
        <v>46076</v>
      </c>
      <c r="J124" s="10" t="n">
        <f aca="false">J11</f>
        <v>46079</v>
      </c>
      <c r="K124" s="18" t="n">
        <v>6</v>
      </c>
      <c r="L124" s="9" t="s">
        <v>16</v>
      </c>
      <c r="M124" s="10" t="n">
        <v>46079</v>
      </c>
      <c r="N124" s="12" t="s">
        <v>63</v>
      </c>
    </row>
    <row r="125" customFormat="false" ht="28.9" hidden="false" customHeight="false" outlineLevel="0" collapsed="false">
      <c r="A125" s="2"/>
      <c r="B125" s="4" t="s">
        <v>64</v>
      </c>
      <c r="C125" s="19" t="n">
        <v>1545</v>
      </c>
      <c r="D125" s="8" t="s">
        <v>73</v>
      </c>
      <c r="E125" s="8" t="n">
        <v>2255</v>
      </c>
      <c r="F125" s="8" t="s">
        <v>73</v>
      </c>
      <c r="G125" s="9" t="str">
        <f aca="false">G111</f>
        <v>Vostochny</v>
      </c>
      <c r="H125" s="10" t="str">
        <f aca="false">H12</f>
        <v>BELLE ARIES
2607N</v>
      </c>
      <c r="I125" s="10" t="n">
        <f aca="false">I12</f>
        <v>46081</v>
      </c>
      <c r="J125" s="10" t="n">
        <f aca="false">J12</f>
        <v>46084</v>
      </c>
      <c r="K125" s="18" t="n">
        <f aca="false">K111</f>
        <v>6</v>
      </c>
      <c r="L125" s="9" t="str">
        <f aca="false">L111</f>
        <v>DIRECT</v>
      </c>
      <c r="M125" s="10" t="n">
        <f aca="false">M12</f>
        <v>46084</v>
      </c>
      <c r="N125" s="9" t="str">
        <f aca="false">N111</f>
        <v>Include DTHC、DDF</v>
      </c>
      <c r="O125" s="21"/>
    </row>
    <row r="126" customFormat="false" ht="28.9" hidden="false" customHeight="false" outlineLevel="0" collapsed="false">
      <c r="A126" s="2"/>
      <c r="B126" s="4" t="s">
        <v>66</v>
      </c>
      <c r="C126" s="19" t="n">
        <v>1350</v>
      </c>
      <c r="D126" s="8" t="s">
        <v>73</v>
      </c>
      <c r="E126" s="8" t="n">
        <v>2250</v>
      </c>
      <c r="F126" s="8" t="s">
        <v>73</v>
      </c>
      <c r="G126" s="17" t="str">
        <f aca="false">G13</f>
        <v>Nakhodka</v>
      </c>
      <c r="H126" s="10" t="str">
        <f aca="false">H13</f>
        <v>Hua Zheng Hai Gang
62603W</v>
      </c>
      <c r="I126" s="10" t="n">
        <f aca="false">I13</f>
        <v>46077</v>
      </c>
      <c r="J126" s="10" t="n">
        <f aca="false">J13</f>
        <v>46080</v>
      </c>
      <c r="K126" s="18" t="n">
        <f aca="false">K112</f>
        <v>4</v>
      </c>
      <c r="L126" s="9" t="str">
        <f aca="false">L112</f>
        <v>DIRECT</v>
      </c>
      <c r="M126" s="10" t="n">
        <f aca="false">M112</f>
        <v>46080</v>
      </c>
      <c r="N126" s="9" t="str">
        <f aca="false">N112</f>
        <v>Include DTHC、DDF</v>
      </c>
      <c r="O126" s="21" t="s">
        <v>75</v>
      </c>
    </row>
    <row r="127" s="30" customFormat="true" ht="19.7" hidden="false" customHeight="false" outlineLevel="0" collapsed="false">
      <c r="A127" s="29"/>
      <c r="C127" s="1"/>
      <c r="D127" s="1"/>
      <c r="E127" s="1"/>
      <c r="F127" s="1"/>
    </row>
    <row r="128" s="31" customFormat="true" ht="19.7" hidden="false" customHeight="true" outlineLevel="0" collapsed="false">
      <c r="A128" s="2" t="s">
        <v>83</v>
      </c>
      <c r="B128" s="3" t="s">
        <v>1</v>
      </c>
      <c r="C128" s="4" t="s">
        <v>70</v>
      </c>
      <c r="D128" s="4"/>
      <c r="E128" s="4" t="s">
        <v>71</v>
      </c>
      <c r="F128" s="4"/>
      <c r="G128" s="4" t="s">
        <v>4</v>
      </c>
      <c r="H128" s="4" t="s">
        <v>5</v>
      </c>
      <c r="I128" s="4" t="s">
        <v>6</v>
      </c>
      <c r="J128" s="4" t="s">
        <v>7</v>
      </c>
      <c r="K128" s="4" t="s">
        <v>8</v>
      </c>
      <c r="L128" s="4" t="s">
        <v>9</v>
      </c>
      <c r="M128" s="5" t="s">
        <v>10</v>
      </c>
      <c r="N128" s="5" t="s">
        <v>11</v>
      </c>
      <c r="O128" s="30"/>
    </row>
    <row r="129" s="31" customFormat="true" ht="42.75" hidden="false" customHeight="false" outlineLevel="0" collapsed="false">
      <c r="A129" s="2"/>
      <c r="B129" s="7" t="s">
        <v>13</v>
      </c>
      <c r="C129" s="8" t="n">
        <v>1635</v>
      </c>
      <c r="D129" s="8" t="s">
        <v>72</v>
      </c>
      <c r="E129" s="8" t="n">
        <v>2930</v>
      </c>
      <c r="F129" s="8" t="s">
        <v>72</v>
      </c>
      <c r="G129" s="9" t="str">
        <f aca="false">G115</f>
        <v>Vladivostok Commercial Port</v>
      </c>
      <c r="H129" s="10" t="str">
        <f aca="false">H115</f>
        <v>HAI SHUN FENG 27
2603N</v>
      </c>
      <c r="I129" s="10" t="n">
        <f aca="false">I115</f>
        <v>46090</v>
      </c>
      <c r="J129" s="10" t="n">
        <f aca="false">J115</f>
        <v>46093</v>
      </c>
      <c r="K129" s="18" t="n">
        <v>4</v>
      </c>
      <c r="L129" s="9" t="s">
        <v>16</v>
      </c>
      <c r="M129" s="10" t="n">
        <f aca="false">M115</f>
        <v>46093</v>
      </c>
      <c r="N129" s="12" t="str">
        <f aca="false">N115</f>
        <v>Include DTHC $550/650
Exclude DDF $50/bill
DTHC&amp;DDF PP/CC Available</v>
      </c>
      <c r="O129" s="30"/>
    </row>
    <row r="130" s="31" customFormat="true" ht="28.9" hidden="false" customHeight="false" outlineLevel="0" collapsed="false">
      <c r="A130" s="2"/>
      <c r="B130" s="7" t="s">
        <v>21</v>
      </c>
      <c r="C130" s="8" t="n">
        <v>1670</v>
      </c>
      <c r="D130" s="8" t="s">
        <v>73</v>
      </c>
      <c r="E130" s="8" t="n">
        <v>3080</v>
      </c>
      <c r="F130" s="8" t="s">
        <v>73</v>
      </c>
      <c r="G130" s="9" t="s">
        <v>14</v>
      </c>
      <c r="H130" s="10" t="str">
        <f aca="false">H117</f>
        <v>SURABAYA VOYAGER
9018E</v>
      </c>
      <c r="I130" s="10" t="n">
        <f aca="false">I117</f>
        <v>46066</v>
      </c>
      <c r="J130" s="10" t="n">
        <f aca="false">J117</f>
        <v>46069</v>
      </c>
      <c r="K130" s="10" t="str">
        <f aca="false">K117</f>
        <v>4~5</v>
      </c>
      <c r="L130" s="10" t="str">
        <f aca="false">L117</f>
        <v>DIRECT</v>
      </c>
      <c r="M130" s="10" t="n">
        <f aca="false">M117</f>
        <v>46069</v>
      </c>
      <c r="N130" s="10" t="str">
        <f aca="false">N117</f>
        <v>Include DTHC $550/650
DTHC PP/CC Available</v>
      </c>
      <c r="O130" s="30"/>
    </row>
    <row r="131" s="31" customFormat="true" ht="28.9" hidden="false" customHeight="false" outlineLevel="0" collapsed="false">
      <c r="A131" s="2"/>
      <c r="B131" s="14" t="s">
        <v>27</v>
      </c>
      <c r="C131" s="8" t="n">
        <v>1670</v>
      </c>
      <c r="D131" s="8" t="s">
        <v>73</v>
      </c>
      <c r="E131" s="8" t="n">
        <v>3080</v>
      </c>
      <c r="F131" s="8" t="s">
        <v>73</v>
      </c>
      <c r="G131" s="9" t="s">
        <v>14</v>
      </c>
      <c r="H131" s="10" t="str">
        <f aca="false">H118</f>
        <v>SURABAYA VOYAGER
9018E</v>
      </c>
      <c r="I131" s="10" t="n">
        <f aca="false">I118</f>
        <v>46066</v>
      </c>
      <c r="J131" s="10" t="n">
        <f aca="false">J118</f>
        <v>46069</v>
      </c>
      <c r="K131" s="18" t="str">
        <f aca="false">K117</f>
        <v>4~5</v>
      </c>
      <c r="L131" s="9" t="str">
        <f aca="false">L117</f>
        <v>DIRECT</v>
      </c>
      <c r="M131" s="10" t="n">
        <f aca="false">M117</f>
        <v>46069</v>
      </c>
      <c r="N131" s="12" t="str">
        <f aca="false">N117</f>
        <v>Include DTHC $550/650
DTHC PP/CC Available</v>
      </c>
      <c r="O131" s="30"/>
    </row>
    <row r="132" s="31" customFormat="true" ht="42.75" hidden="false" customHeight="false" outlineLevel="0" collapsed="false">
      <c r="A132" s="2"/>
      <c r="B132" s="7" t="s">
        <v>29</v>
      </c>
      <c r="C132" s="8" t="s">
        <v>30</v>
      </c>
      <c r="D132" s="8" t="s">
        <v>73</v>
      </c>
      <c r="E132" s="8" t="s">
        <v>30</v>
      </c>
      <c r="F132" s="8" t="s">
        <v>73</v>
      </c>
      <c r="G132" s="9" t="s">
        <v>14</v>
      </c>
      <c r="H132" s="10" t="str">
        <f aca="false">H119</f>
        <v>HAI SHUN FENG 27
2601N</v>
      </c>
      <c r="I132" s="10" t="n">
        <f aca="false">I119</f>
        <v>46054</v>
      </c>
      <c r="J132" s="10" t="n">
        <f aca="false">J119</f>
        <v>46057</v>
      </c>
      <c r="K132" s="10" t="str">
        <f aca="false">K119</f>
        <v>6~7</v>
      </c>
      <c r="L132" s="10" t="str">
        <f aca="false">L119</f>
        <v>DIRECT</v>
      </c>
      <c r="M132" s="10" t="n">
        <f aca="false">M119</f>
        <v>46081</v>
      </c>
      <c r="N132" s="10" t="str">
        <f aca="false">N119</f>
        <v>Include DTHC $400/500
DDF $50/bill
DTHC&amp;DDF PP/CC Available</v>
      </c>
      <c r="O132" s="30"/>
    </row>
    <row r="133" s="31" customFormat="true" ht="42.75" hidden="false" customHeight="false" outlineLevel="0" collapsed="false">
      <c r="A133" s="2"/>
      <c r="B133" s="7" t="s">
        <v>35</v>
      </c>
      <c r="C133" s="8" t="n">
        <v>1785</v>
      </c>
      <c r="D133" s="8" t="s">
        <v>73</v>
      </c>
      <c r="E133" s="8" t="n">
        <v>2980</v>
      </c>
      <c r="F133" s="8" t="s">
        <v>73</v>
      </c>
      <c r="G133" s="9" t="s">
        <v>14</v>
      </c>
      <c r="H133" s="10" t="s">
        <v>36</v>
      </c>
      <c r="I133" s="10" t="s">
        <v>37</v>
      </c>
      <c r="J133" s="10" t="s">
        <v>38</v>
      </c>
      <c r="K133" s="10" t="str">
        <f aca="false">K120</f>
        <v>8~9</v>
      </c>
      <c r="L133" s="10" t="str">
        <f aca="false">L120</f>
        <v>VIA BUSAN </v>
      </c>
      <c r="M133" s="10" t="n">
        <f aca="false">M120</f>
        <v>46081</v>
      </c>
      <c r="N133" s="10" t="str">
        <f aca="false">N120</f>
        <v>Include DTHC
Exclude DDF $50/bill</v>
      </c>
      <c r="O133" s="30"/>
    </row>
    <row r="134" s="31" customFormat="true" ht="28.9" hidden="false" customHeight="false" outlineLevel="0" collapsed="false">
      <c r="A134" s="2"/>
      <c r="B134" s="7" t="s">
        <v>43</v>
      </c>
      <c r="C134" s="8" t="n">
        <v>1810</v>
      </c>
      <c r="D134" s="8" t="s">
        <v>73</v>
      </c>
      <c r="E134" s="8" t="n">
        <v>3050</v>
      </c>
      <c r="F134" s="8" t="s">
        <v>73</v>
      </c>
      <c r="G134" s="9" t="s">
        <v>14</v>
      </c>
      <c r="H134" s="10" t="str">
        <f aca="false">H121</f>
        <v>FESCO DALNEGORSK HK734N
&amp; FESCO SOFIA HK735N</v>
      </c>
      <c r="I134" s="10" t="str">
        <f aca="false">I121</f>
        <v>2-Mar
&amp; 9-Mar</v>
      </c>
      <c r="J134" s="10" t="str">
        <f aca="false">J121</f>
        <v>5-Mar
&amp; 12-Mar</v>
      </c>
      <c r="K134" s="32" t="n">
        <f aca="false">K121</f>
        <v>4</v>
      </c>
      <c r="L134" s="10" t="str">
        <f aca="false">L121</f>
        <v>DIRECT</v>
      </c>
      <c r="M134" s="10" t="n">
        <f aca="false">M121</f>
        <v>46075</v>
      </c>
      <c r="N134" s="10" t="str">
        <f aca="false">N121</f>
        <v>Include DTHC $350/450
DTHC PP/CC Available</v>
      </c>
      <c r="O134" s="30"/>
    </row>
    <row r="135" s="31" customFormat="true" ht="19.7" hidden="false" customHeight="false" outlineLevel="0" collapsed="false">
      <c r="B135" s="33"/>
      <c r="C135" s="1"/>
      <c r="D135" s="1"/>
      <c r="E135" s="1"/>
      <c r="F135" s="1"/>
      <c r="G135" s="33"/>
      <c r="H135" s="34"/>
      <c r="I135" s="34"/>
      <c r="J135" s="34"/>
      <c r="K135" s="35"/>
      <c r="L135" s="33"/>
      <c r="M135" s="33"/>
      <c r="N135" s="33"/>
      <c r="O135" s="30"/>
    </row>
    <row r="136" customFormat="false" ht="15" hidden="false" customHeight="false" outlineLevel="0" collapsed="false">
      <c r="A136" s="36" t="s">
        <v>84</v>
      </c>
    </row>
    <row r="137" customFormat="false" ht="15" hidden="false" customHeight="false" outlineLevel="0" collapsed="false">
      <c r="A137" s="37" t="s">
        <v>85</v>
      </c>
    </row>
    <row r="138" customFormat="false" ht="15" hidden="false" customHeight="false" outlineLevel="0" collapsed="false">
      <c r="A138" s="37" t="s">
        <v>86</v>
      </c>
    </row>
    <row r="140" customFormat="false" ht="22.05" hidden="false" customHeight="false" outlineLevel="0" collapsed="false">
      <c r="L140" s="38" t="s">
        <v>87</v>
      </c>
    </row>
  </sheetData>
  <autoFilter ref="A1:O134"/>
  <mergeCells count="54">
    <mergeCell ref="A1:A13"/>
    <mergeCell ref="C1:D1"/>
    <mergeCell ref="E1:F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A15:A28"/>
    <mergeCell ref="C15:D15"/>
    <mergeCell ref="E15:F15"/>
    <mergeCell ref="A30:A42"/>
    <mergeCell ref="C30:D30"/>
    <mergeCell ref="E30:F30"/>
    <mergeCell ref="A44:A56"/>
    <mergeCell ref="C44:D44"/>
    <mergeCell ref="E44:F44"/>
    <mergeCell ref="A58:A70"/>
    <mergeCell ref="C58:D58"/>
    <mergeCell ref="E58:F58"/>
    <mergeCell ref="A72:A84"/>
    <mergeCell ref="C72:D72"/>
    <mergeCell ref="E72:F72"/>
    <mergeCell ref="A86:A98"/>
    <mergeCell ref="C86:D86"/>
    <mergeCell ref="E86:F86"/>
    <mergeCell ref="A100:A112"/>
    <mergeCell ref="C100:D100"/>
    <mergeCell ref="E100:F100"/>
    <mergeCell ref="A114:A126"/>
    <mergeCell ref="C114:D114"/>
    <mergeCell ref="E114:F114"/>
    <mergeCell ref="A128:A134"/>
    <mergeCell ref="C128:D128"/>
    <mergeCell ref="E128:F128"/>
  </mergeCells>
  <hyperlinks>
    <hyperlink ref="O2" location="SHANGHAI!A30" display="Drop off Vladivostok"/>
    <hyperlink ref="O3" location="SHANGHAI!A45" display="Drop off Moscow"/>
    <hyperlink ref="O4" location="SHANGHAI!R55C1" display="Drop off Novosibirsk"/>
    <hyperlink ref="O5" location="SHANGHAI!A68" display="Drop off Ekaterinburg"/>
    <hyperlink ref="O6" location="SHANGHAI!A84" display="Drop off Krasnoyarsk"/>
    <hyperlink ref="O7" location="SHANGHAI!A98" display="Drop off St.Petersburg"/>
    <hyperlink ref="O8" location="SHANGHAI!A114" display="Drop off Irkutsk"/>
    <hyperlink ref="O9" location="SHANGHAI!A135" display="Drop off Khabarovsk"/>
    <hyperlink ref="O10" location="SHANGHAI!A140" display="Drop off Minsk"/>
    <hyperlink ref="O28" location="SHANGHAI!R1C1" display="BACK"/>
    <hyperlink ref="O42" location="SHANGHAI!R1C1" display="BACK"/>
    <hyperlink ref="O56" location="SHANGHAI!R1C1" display="BACK"/>
    <hyperlink ref="O70" location="SHANGHAI!R1C1" display="BACK"/>
    <hyperlink ref="O84" location="SHANGHAI!R1C1" display="BACK"/>
    <hyperlink ref="O98" location="SHANGHAI!R1C1" display="BACK"/>
    <hyperlink ref="O112" location="SHANGHAI!R1C1" display="BACK"/>
    <hyperlink ref="O126" location="SHANGHAI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9" width="17.06"/>
    <col collapsed="false" customWidth="true" hidden="false" outlineLevel="0" max="2" min="2" style="39" width="11.92"/>
    <col collapsed="false" customWidth="true" hidden="false" outlineLevel="0" max="3" min="3" style="39" width="7.13"/>
    <col collapsed="false" customWidth="true" hidden="false" outlineLevel="0" max="4" min="4" style="39" width="5.12"/>
    <col collapsed="false" customWidth="true" hidden="false" outlineLevel="0" max="5" min="5" style="39" width="7.13"/>
    <col collapsed="false" customWidth="true" hidden="false" outlineLevel="0" max="6" min="6" style="39" width="5.12"/>
    <col collapsed="false" customWidth="true" hidden="false" outlineLevel="0" max="7" min="7" style="39" width="9.61"/>
    <col collapsed="false" customWidth="true" hidden="false" outlineLevel="0" max="8" min="8" style="39" width="27.01"/>
    <col collapsed="false" customWidth="true" hidden="false" outlineLevel="0" max="9" min="9" style="39" width="19.22"/>
    <col collapsed="false" customWidth="true" hidden="false" outlineLevel="0" max="11" min="10" style="39" width="7.63"/>
    <col collapsed="false" customWidth="true" hidden="false" outlineLevel="0" max="12" min="12" style="39" width="6.25"/>
    <col collapsed="false" customWidth="true" hidden="false" outlineLevel="0" max="13" min="13" style="39" width="8.74"/>
    <col collapsed="false" customWidth="true" hidden="false" outlineLevel="0" max="14" min="14" style="39" width="7.4"/>
    <col collapsed="false" customWidth="true" hidden="false" outlineLevel="0" max="15" min="15" style="39" width="15.28"/>
    <col collapsed="false" customWidth="true" hidden="false" outlineLevel="0" max="16" min="16" style="39" width="14.22"/>
    <col collapsed="false" customWidth="true" hidden="false" outlineLevel="0" max="17" min="17" style="39" width="19.63"/>
    <col collapsed="false" customWidth="false" hidden="false" outlineLevel="0" max="16384" min="18" style="39" width="9"/>
  </cols>
  <sheetData>
    <row r="1" customFormat="false" ht="17.45" hidden="false" customHeight="true" outlineLevel="0" collapsed="false">
      <c r="A1" s="2" t="s">
        <v>88</v>
      </c>
      <c r="B1" s="3" t="s">
        <v>1</v>
      </c>
      <c r="C1" s="4" t="s">
        <v>2</v>
      </c>
      <c r="D1" s="4"/>
      <c r="E1" s="4" t="s">
        <v>3</v>
      </c>
      <c r="F1" s="4"/>
      <c r="G1" s="4" t="s">
        <v>89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 t="s">
        <v>10</v>
      </c>
      <c r="O1" s="5" t="s">
        <v>11</v>
      </c>
      <c r="P1" s="5" t="s">
        <v>90</v>
      </c>
      <c r="Q1" s="40" t="s">
        <v>12</v>
      </c>
    </row>
    <row r="2" customFormat="false" ht="35" hidden="false" customHeight="true" outlineLevel="0" collapsed="false">
      <c r="A2" s="2"/>
      <c r="B2" s="7" t="s">
        <v>13</v>
      </c>
      <c r="C2" s="8" t="n">
        <v>1200</v>
      </c>
      <c r="D2" s="8"/>
      <c r="E2" s="8" t="n">
        <v>1600</v>
      </c>
      <c r="F2" s="8"/>
      <c r="G2" s="9" t="s">
        <v>91</v>
      </c>
      <c r="H2" s="9" t="s">
        <v>14</v>
      </c>
      <c r="I2" s="10" t="s">
        <v>15</v>
      </c>
      <c r="J2" s="10" t="n">
        <f aca="false">K2-3</f>
        <v>46088</v>
      </c>
      <c r="K2" s="10" t="n">
        <v>46091</v>
      </c>
      <c r="L2" s="18" t="n">
        <v>8</v>
      </c>
      <c r="M2" s="9" t="s">
        <v>16</v>
      </c>
      <c r="N2" s="10" t="n">
        <v>46091</v>
      </c>
      <c r="O2" s="12" t="s">
        <v>41</v>
      </c>
      <c r="P2" s="12" t="s">
        <v>92</v>
      </c>
      <c r="Q2" s="41" t="s">
        <v>18</v>
      </c>
    </row>
    <row r="3" customFormat="false" ht="35" hidden="false" customHeight="true" outlineLevel="0" collapsed="false">
      <c r="A3" s="2"/>
      <c r="B3" s="7" t="s">
        <v>13</v>
      </c>
      <c r="C3" s="8" t="n">
        <v>1175</v>
      </c>
      <c r="D3" s="8"/>
      <c r="E3" s="8" t="n">
        <v>1525</v>
      </c>
      <c r="F3" s="8"/>
      <c r="G3" s="9" t="s">
        <v>91</v>
      </c>
      <c r="H3" s="9" t="s">
        <v>19</v>
      </c>
      <c r="I3" s="10" t="s">
        <v>15</v>
      </c>
      <c r="J3" s="10" t="n">
        <f aca="false">K3-3</f>
        <v>46088</v>
      </c>
      <c r="K3" s="10" t="n">
        <v>46091</v>
      </c>
      <c r="L3" s="18" t="n">
        <v>10</v>
      </c>
      <c r="M3" s="9" t="s">
        <v>16</v>
      </c>
      <c r="N3" s="10" t="n">
        <v>46091</v>
      </c>
      <c r="O3" s="12" t="s">
        <v>41</v>
      </c>
      <c r="P3" s="12"/>
      <c r="Q3" s="41" t="s">
        <v>20</v>
      </c>
    </row>
    <row r="4" customFormat="false" ht="28" hidden="false" customHeight="true" outlineLevel="0" collapsed="false">
      <c r="A4" s="2"/>
      <c r="B4" s="7" t="s">
        <v>49</v>
      </c>
      <c r="C4" s="8" t="s">
        <v>30</v>
      </c>
      <c r="D4" s="8"/>
      <c r="E4" s="8" t="s">
        <v>30</v>
      </c>
      <c r="F4" s="8"/>
      <c r="G4" s="9" t="s">
        <v>93</v>
      </c>
      <c r="H4" s="9" t="s">
        <v>50</v>
      </c>
      <c r="I4" s="10" t="s">
        <v>94</v>
      </c>
      <c r="J4" s="10" t="n">
        <f aca="false">K4-3</f>
        <v>46078</v>
      </c>
      <c r="K4" s="10" t="n">
        <v>46081</v>
      </c>
      <c r="L4" s="16" t="s">
        <v>95</v>
      </c>
      <c r="M4" s="9" t="s">
        <v>40</v>
      </c>
      <c r="N4" s="10" t="n">
        <v>46081</v>
      </c>
      <c r="O4" s="42" t="s">
        <v>96</v>
      </c>
      <c r="P4" s="43"/>
      <c r="Q4" s="41" t="s">
        <v>26</v>
      </c>
    </row>
    <row r="5" customFormat="false" ht="42.75" hidden="false" customHeight="false" outlineLevel="0" collapsed="false">
      <c r="A5" s="2"/>
      <c r="B5" s="7" t="s">
        <v>35</v>
      </c>
      <c r="C5" s="8" t="n">
        <v>1440</v>
      </c>
      <c r="D5" s="8"/>
      <c r="E5" s="8" t="n">
        <v>1830</v>
      </c>
      <c r="F5" s="8"/>
      <c r="G5" s="9" t="s">
        <v>93</v>
      </c>
      <c r="H5" s="9" t="s">
        <v>22</v>
      </c>
      <c r="I5" s="10" t="s">
        <v>97</v>
      </c>
      <c r="J5" s="10" t="n">
        <f aca="false">K5-3</f>
        <v>46077</v>
      </c>
      <c r="K5" s="10" t="n">
        <v>46080</v>
      </c>
      <c r="L5" s="18" t="s">
        <v>95</v>
      </c>
      <c r="M5" s="9" t="s">
        <v>40</v>
      </c>
      <c r="N5" s="10" t="n">
        <v>46081</v>
      </c>
      <c r="O5" s="12" t="s">
        <v>41</v>
      </c>
      <c r="P5" s="43"/>
      <c r="Q5" s="41" t="s">
        <v>28</v>
      </c>
    </row>
    <row r="6" customFormat="false" ht="56.6" hidden="false" customHeight="false" outlineLevel="0" collapsed="false">
      <c r="A6" s="2"/>
      <c r="B6" s="14" t="s">
        <v>98</v>
      </c>
      <c r="C6" s="8" t="n">
        <v>1240</v>
      </c>
      <c r="D6" s="8"/>
      <c r="E6" s="8" t="n">
        <v>1580</v>
      </c>
      <c r="F6" s="8"/>
      <c r="G6" s="9" t="s">
        <v>93</v>
      </c>
      <c r="H6" s="9" t="s">
        <v>50</v>
      </c>
      <c r="I6" s="10" t="s">
        <v>99</v>
      </c>
      <c r="J6" s="10" t="n">
        <f aca="false">K6-3</f>
        <v>46091</v>
      </c>
      <c r="K6" s="10" t="n">
        <v>46094</v>
      </c>
      <c r="L6" s="18" t="n">
        <v>5</v>
      </c>
      <c r="M6" s="9" t="s">
        <v>16</v>
      </c>
      <c r="N6" s="10" t="n">
        <v>46112</v>
      </c>
      <c r="O6" s="12" t="s">
        <v>100</v>
      </c>
      <c r="P6" s="43"/>
      <c r="Q6" s="41" t="s">
        <v>34</v>
      </c>
    </row>
    <row r="7" customFormat="false" ht="56.6" hidden="false" customHeight="false" outlineLevel="0" collapsed="false">
      <c r="A7" s="2"/>
      <c r="B7" s="14" t="s">
        <v>98</v>
      </c>
      <c r="C7" s="8" t="n">
        <v>1240</v>
      </c>
      <c r="D7" s="8"/>
      <c r="E7" s="8" t="n">
        <v>1580</v>
      </c>
      <c r="F7" s="8"/>
      <c r="G7" s="9" t="s">
        <v>93</v>
      </c>
      <c r="H7" s="9" t="s">
        <v>74</v>
      </c>
      <c r="I7" s="10" t="s">
        <v>101</v>
      </c>
      <c r="J7" s="10" t="n">
        <f aca="false">K7-3</f>
        <v>46091</v>
      </c>
      <c r="K7" s="10" t="n">
        <v>46094</v>
      </c>
      <c r="L7" s="18" t="n">
        <v>5</v>
      </c>
      <c r="M7" s="9" t="s">
        <v>16</v>
      </c>
      <c r="N7" s="10" t="n">
        <v>46112</v>
      </c>
      <c r="O7" s="12" t="s">
        <v>100</v>
      </c>
      <c r="P7" s="43"/>
      <c r="Q7" s="41" t="s">
        <v>42</v>
      </c>
    </row>
    <row r="8" customFormat="false" ht="28.9" hidden="false" customHeight="false" outlineLevel="0" collapsed="false">
      <c r="A8" s="2"/>
      <c r="B8" s="7" t="s">
        <v>102</v>
      </c>
      <c r="C8" s="8" t="s">
        <v>103</v>
      </c>
      <c r="D8" s="8"/>
      <c r="E8" s="8" t="s">
        <v>103</v>
      </c>
      <c r="F8" s="8"/>
      <c r="G8" s="9" t="s">
        <v>93</v>
      </c>
      <c r="H8" s="9" t="s">
        <v>61</v>
      </c>
      <c r="I8" s="10" t="s">
        <v>104</v>
      </c>
      <c r="J8" s="44" t="s">
        <v>103</v>
      </c>
      <c r="K8" s="44" t="s">
        <v>103</v>
      </c>
      <c r="L8" s="18" t="n">
        <v>7</v>
      </c>
      <c r="M8" s="9" t="s">
        <v>105</v>
      </c>
      <c r="N8" s="10" t="n">
        <v>46037</v>
      </c>
      <c r="O8" s="12" t="s">
        <v>63</v>
      </c>
      <c r="P8" s="43"/>
      <c r="Q8" s="41" t="s">
        <v>48</v>
      </c>
    </row>
    <row r="9" customFormat="false" ht="28.9" hidden="false" customHeight="false" outlineLevel="0" collapsed="false">
      <c r="A9" s="2"/>
      <c r="B9" s="7" t="s">
        <v>29</v>
      </c>
      <c r="C9" s="8" t="s">
        <v>30</v>
      </c>
      <c r="D9" s="8"/>
      <c r="E9" s="8" t="s">
        <v>30</v>
      </c>
      <c r="F9" s="8"/>
      <c r="G9" s="9" t="s">
        <v>91</v>
      </c>
      <c r="H9" s="9" t="s">
        <v>14</v>
      </c>
      <c r="I9" s="10" t="s">
        <v>31</v>
      </c>
      <c r="J9" s="10" t="n">
        <f aca="false">K9-3</f>
        <v>46056</v>
      </c>
      <c r="K9" s="10" t="n">
        <v>46059</v>
      </c>
      <c r="L9" s="18" t="n">
        <v>8</v>
      </c>
      <c r="M9" s="9" t="s">
        <v>16</v>
      </c>
      <c r="N9" s="10" t="n">
        <v>46081</v>
      </c>
      <c r="O9" s="42" t="s">
        <v>96</v>
      </c>
      <c r="P9" s="43"/>
      <c r="Q9" s="41" t="s">
        <v>53</v>
      </c>
    </row>
    <row r="10" customFormat="false" ht="40" hidden="false" customHeight="true" outlineLevel="0" collapsed="false">
      <c r="A10" s="2"/>
      <c r="B10" s="14" t="s">
        <v>106</v>
      </c>
      <c r="C10" s="8" t="n">
        <v>1300</v>
      </c>
      <c r="D10" s="8"/>
      <c r="E10" s="8" t="n">
        <v>1500</v>
      </c>
      <c r="F10" s="8"/>
      <c r="G10" s="9" t="s">
        <v>91</v>
      </c>
      <c r="H10" s="9" t="s">
        <v>50</v>
      </c>
      <c r="I10" s="10" t="s">
        <v>107</v>
      </c>
      <c r="J10" s="10" t="n">
        <f aca="false">K10-3</f>
        <v>46075</v>
      </c>
      <c r="K10" s="10" t="n">
        <v>46078</v>
      </c>
      <c r="L10" s="18" t="n">
        <v>7</v>
      </c>
      <c r="M10" s="9" t="s">
        <v>16</v>
      </c>
      <c r="N10" s="10" t="n">
        <v>46078</v>
      </c>
      <c r="O10" s="45" t="s">
        <v>108</v>
      </c>
      <c r="P10" s="12" t="s">
        <v>109</v>
      </c>
      <c r="Q10" s="41" t="s">
        <v>59</v>
      </c>
    </row>
    <row r="11" customFormat="false" ht="40" hidden="false" customHeight="true" outlineLevel="0" collapsed="false">
      <c r="A11" s="2"/>
      <c r="B11" s="14" t="s">
        <v>106</v>
      </c>
      <c r="C11" s="8" t="n">
        <v>1300</v>
      </c>
      <c r="D11" s="8"/>
      <c r="E11" s="8" t="n">
        <v>1500</v>
      </c>
      <c r="F11" s="8"/>
      <c r="G11" s="9" t="s">
        <v>91</v>
      </c>
      <c r="H11" s="9" t="s">
        <v>74</v>
      </c>
      <c r="I11" s="10" t="s">
        <v>107</v>
      </c>
      <c r="J11" s="10" t="n">
        <f aca="false">K11-3</f>
        <v>46075</v>
      </c>
      <c r="K11" s="10" t="n">
        <v>46078</v>
      </c>
      <c r="L11" s="18" t="n">
        <v>5</v>
      </c>
      <c r="M11" s="9" t="s">
        <v>16</v>
      </c>
      <c r="N11" s="10" t="n">
        <v>46078</v>
      </c>
      <c r="O11" s="45" t="s">
        <v>108</v>
      </c>
      <c r="P11" s="12"/>
    </row>
    <row r="12" customFormat="false" ht="40" hidden="false" customHeight="true" outlineLevel="0" collapsed="false">
      <c r="A12" s="2"/>
      <c r="B12" s="14" t="s">
        <v>110</v>
      </c>
      <c r="C12" s="8" t="n">
        <v>1040</v>
      </c>
      <c r="D12" s="8"/>
      <c r="E12" s="8" t="n">
        <v>1580</v>
      </c>
      <c r="F12" s="8"/>
      <c r="G12" s="9" t="s">
        <v>91</v>
      </c>
      <c r="H12" s="9" t="s">
        <v>14</v>
      </c>
      <c r="I12" s="10" t="s">
        <v>111</v>
      </c>
      <c r="J12" s="10" t="n">
        <f aca="false">K12-3</f>
        <v>46086</v>
      </c>
      <c r="K12" s="10" t="n">
        <v>46089</v>
      </c>
      <c r="L12" s="18" t="n">
        <v>7</v>
      </c>
      <c r="M12" s="9" t="s">
        <v>16</v>
      </c>
      <c r="N12" s="10" t="n">
        <v>46089</v>
      </c>
      <c r="O12" s="42" t="s">
        <v>96</v>
      </c>
      <c r="P12" s="12" t="s">
        <v>112</v>
      </c>
    </row>
    <row r="13" customFormat="false" ht="40" hidden="false" customHeight="true" outlineLevel="0" collapsed="false">
      <c r="A13" s="2"/>
      <c r="B13" s="14" t="s">
        <v>110</v>
      </c>
      <c r="C13" s="8" t="n">
        <v>1040</v>
      </c>
      <c r="D13" s="8"/>
      <c r="E13" s="8" t="n">
        <v>1580</v>
      </c>
      <c r="F13" s="8"/>
      <c r="G13" s="9" t="s">
        <v>91</v>
      </c>
      <c r="H13" s="9" t="s">
        <v>74</v>
      </c>
      <c r="I13" s="10" t="s">
        <v>111</v>
      </c>
      <c r="J13" s="10" t="n">
        <f aca="false">K13-3</f>
        <v>46086</v>
      </c>
      <c r="K13" s="10" t="n">
        <v>46089</v>
      </c>
      <c r="L13" s="18" t="n">
        <v>8</v>
      </c>
      <c r="M13" s="9" t="s">
        <v>16</v>
      </c>
      <c r="N13" s="10" t="n">
        <v>46089</v>
      </c>
      <c r="O13" s="42" t="s">
        <v>96</v>
      </c>
      <c r="P13" s="12"/>
    </row>
    <row r="14" customFormat="false" ht="28.9" hidden="false" customHeight="false" outlineLevel="0" collapsed="false">
      <c r="A14" s="2"/>
      <c r="B14" s="7" t="s">
        <v>66</v>
      </c>
      <c r="C14" s="8" t="n">
        <v>1000</v>
      </c>
      <c r="D14" s="8"/>
      <c r="E14" s="8" t="n">
        <v>1500</v>
      </c>
      <c r="F14" s="8"/>
      <c r="G14" s="9" t="s">
        <v>91</v>
      </c>
      <c r="H14" s="12" t="s">
        <v>50</v>
      </c>
      <c r="I14" s="10" t="s">
        <v>113</v>
      </c>
      <c r="J14" s="10" t="n">
        <v>46074</v>
      </c>
      <c r="K14" s="10" t="n">
        <v>46077</v>
      </c>
      <c r="L14" s="18" t="n">
        <v>7</v>
      </c>
      <c r="M14" s="9" t="s">
        <v>16</v>
      </c>
      <c r="N14" s="10" t="n">
        <v>46081</v>
      </c>
      <c r="O14" s="42" t="s">
        <v>96</v>
      </c>
      <c r="P14" s="46"/>
    </row>
    <row r="15" customFormat="false" ht="28.9" hidden="false" customHeight="false" outlineLevel="0" collapsed="false">
      <c r="A15" s="2"/>
      <c r="B15" s="7" t="s">
        <v>102</v>
      </c>
      <c r="C15" s="8" t="s">
        <v>103</v>
      </c>
      <c r="D15" s="8"/>
      <c r="E15" s="8" t="s">
        <v>103</v>
      </c>
      <c r="F15" s="8"/>
      <c r="G15" s="9" t="s">
        <v>114</v>
      </c>
      <c r="H15" s="9" t="s">
        <v>61</v>
      </c>
      <c r="I15" s="10" t="s">
        <v>104</v>
      </c>
      <c r="J15" s="44" t="s">
        <v>103</v>
      </c>
      <c r="K15" s="44" t="s">
        <v>103</v>
      </c>
      <c r="L15" s="18" t="n">
        <v>5</v>
      </c>
      <c r="M15" s="9" t="s">
        <v>16</v>
      </c>
      <c r="N15" s="10" t="n">
        <v>46042</v>
      </c>
      <c r="O15" s="12" t="s">
        <v>63</v>
      </c>
      <c r="P15" s="46"/>
    </row>
    <row r="16" customFormat="false" ht="28.9" hidden="false" customHeight="true" outlineLevel="0" collapsed="false">
      <c r="A16" s="2"/>
      <c r="B16" s="7" t="s">
        <v>64</v>
      </c>
      <c r="C16" s="8" t="n">
        <v>1180</v>
      </c>
      <c r="D16" s="8"/>
      <c r="E16" s="8" t="n">
        <v>1455</v>
      </c>
      <c r="F16" s="8"/>
      <c r="G16" s="9" t="s">
        <v>114</v>
      </c>
      <c r="H16" s="9" t="s">
        <v>74</v>
      </c>
      <c r="I16" s="10" t="s">
        <v>65</v>
      </c>
      <c r="J16" s="10" t="n">
        <f aca="false">K16-3</f>
        <v>46079</v>
      </c>
      <c r="K16" s="10" t="n">
        <v>46082</v>
      </c>
      <c r="L16" s="18" t="n">
        <v>5</v>
      </c>
      <c r="M16" s="9" t="s">
        <v>16</v>
      </c>
      <c r="N16" s="10" t="n">
        <v>46082</v>
      </c>
      <c r="O16" s="9" t="s">
        <v>52</v>
      </c>
      <c r="P16" s="12" t="s">
        <v>115</v>
      </c>
    </row>
    <row r="17" customFormat="false" ht="28.9" hidden="false" customHeight="false" outlineLevel="0" collapsed="false">
      <c r="A17" s="2"/>
      <c r="B17" s="7" t="s">
        <v>54</v>
      </c>
      <c r="C17" s="8" t="n">
        <v>1290</v>
      </c>
      <c r="D17" s="8"/>
      <c r="E17" s="8" t="n">
        <v>1530</v>
      </c>
      <c r="F17" s="8"/>
      <c r="G17" s="9" t="s">
        <v>114</v>
      </c>
      <c r="H17" s="12" t="s">
        <v>116</v>
      </c>
      <c r="I17" s="10" t="s">
        <v>117</v>
      </c>
      <c r="J17" s="15" t="s">
        <v>118</v>
      </c>
      <c r="K17" s="15" t="s">
        <v>119</v>
      </c>
      <c r="L17" s="18" t="n">
        <v>7</v>
      </c>
      <c r="M17" s="9" t="s">
        <v>16</v>
      </c>
      <c r="N17" s="10" t="n">
        <v>46096</v>
      </c>
      <c r="O17" s="42" t="s">
        <v>96</v>
      </c>
      <c r="P17" s="12"/>
    </row>
    <row r="18" customFormat="false" ht="12.75" hidden="false" customHeight="false" outlineLevel="0" collapsed="false">
      <c r="C18" s="47"/>
      <c r="D18" s="47"/>
      <c r="E18" s="47"/>
      <c r="F18" s="47"/>
    </row>
    <row r="19" s="31" customFormat="true" ht="15.05" hidden="false" customHeight="true" outlineLevel="0" collapsed="false">
      <c r="A19" s="2" t="s">
        <v>120</v>
      </c>
      <c r="B19" s="3" t="s">
        <v>1</v>
      </c>
      <c r="C19" s="48" t="s">
        <v>70</v>
      </c>
      <c r="D19" s="48"/>
      <c r="E19" s="48" t="s">
        <v>71</v>
      </c>
      <c r="F19" s="48"/>
      <c r="G19" s="4" t="s">
        <v>89</v>
      </c>
      <c r="H19" s="4" t="s">
        <v>4</v>
      </c>
      <c r="I19" s="4" t="s">
        <v>5</v>
      </c>
      <c r="J19" s="4" t="s">
        <v>6</v>
      </c>
      <c r="K19" s="4" t="s">
        <v>7</v>
      </c>
      <c r="L19" s="4" t="s">
        <v>8</v>
      </c>
      <c r="M19" s="4" t="s">
        <v>9</v>
      </c>
      <c r="N19" s="5" t="s">
        <v>10</v>
      </c>
      <c r="O19" s="5" t="s">
        <v>11</v>
      </c>
      <c r="P19" s="5" t="s">
        <v>90</v>
      </c>
    </row>
    <row r="20" s="31" customFormat="true" ht="35" hidden="false" customHeight="true" outlineLevel="0" collapsed="false">
      <c r="A20" s="2"/>
      <c r="B20" s="7" t="s">
        <v>13</v>
      </c>
      <c r="C20" s="49" t="n">
        <v>1240</v>
      </c>
      <c r="D20" s="49" t="s">
        <v>72</v>
      </c>
      <c r="E20" s="49" t="n">
        <v>2060</v>
      </c>
      <c r="F20" s="49" t="s">
        <v>72</v>
      </c>
      <c r="G20" s="9" t="s">
        <v>91</v>
      </c>
      <c r="H20" s="9" t="s">
        <v>14</v>
      </c>
      <c r="I20" s="10" t="str">
        <f aca="false">I2</f>
        <v>HAI SHUN FENG 27
2603N</v>
      </c>
      <c r="J20" s="10" t="n">
        <f aca="false">J2</f>
        <v>46088</v>
      </c>
      <c r="K20" s="10" t="n">
        <f aca="false">K2</f>
        <v>46091</v>
      </c>
      <c r="L20" s="18" t="n">
        <v>8</v>
      </c>
      <c r="M20" s="9" t="s">
        <v>16</v>
      </c>
      <c r="N20" s="10" t="n">
        <f aca="false">N2</f>
        <v>46091</v>
      </c>
      <c r="O20" s="12" t="s">
        <v>41</v>
      </c>
      <c r="P20" s="12" t="s">
        <v>92</v>
      </c>
    </row>
    <row r="21" s="31" customFormat="true" ht="35" hidden="false" customHeight="true" outlineLevel="0" collapsed="false">
      <c r="A21" s="2"/>
      <c r="B21" s="7" t="s">
        <v>13</v>
      </c>
      <c r="C21" s="49" t="n">
        <v>1505</v>
      </c>
      <c r="D21" s="49" t="s">
        <v>72</v>
      </c>
      <c r="E21" s="49" t="n">
        <v>1995</v>
      </c>
      <c r="F21" s="49" t="s">
        <v>72</v>
      </c>
      <c r="G21" s="9" t="s">
        <v>91</v>
      </c>
      <c r="H21" s="9" t="s">
        <v>19</v>
      </c>
      <c r="I21" s="10" t="str">
        <f aca="false">I2</f>
        <v>HAI SHUN FENG 27
2603N</v>
      </c>
      <c r="J21" s="10" t="n">
        <f aca="false">J2</f>
        <v>46088</v>
      </c>
      <c r="K21" s="10" t="n">
        <f aca="false">K2</f>
        <v>46091</v>
      </c>
      <c r="L21" s="18" t="n">
        <v>10</v>
      </c>
      <c r="M21" s="9" t="s">
        <v>16</v>
      </c>
      <c r="N21" s="10" t="n">
        <f aca="false">N2</f>
        <v>46091</v>
      </c>
      <c r="O21" s="12" t="s">
        <v>41</v>
      </c>
      <c r="P21" s="12"/>
    </row>
    <row r="22" s="31" customFormat="true" ht="27" hidden="false" customHeight="true" outlineLevel="0" collapsed="false">
      <c r="A22" s="2"/>
      <c r="B22" s="7" t="s">
        <v>49</v>
      </c>
      <c r="C22" s="19" t="n">
        <v>1110</v>
      </c>
      <c r="D22" s="8" t="s">
        <v>72</v>
      </c>
      <c r="E22" s="8" t="n">
        <v>1860</v>
      </c>
      <c r="F22" s="8" t="s">
        <v>72</v>
      </c>
      <c r="G22" s="9" t="s">
        <v>93</v>
      </c>
      <c r="H22" s="9" t="str">
        <f aca="false">H4</f>
        <v>Vladivostok Fish Port</v>
      </c>
      <c r="I22" s="10" t="s">
        <v>94</v>
      </c>
      <c r="J22" s="10" t="n">
        <f aca="false">K22-3</f>
        <v>46078</v>
      </c>
      <c r="K22" s="10" t="n">
        <v>46081</v>
      </c>
      <c r="L22" s="16" t="s">
        <v>95</v>
      </c>
      <c r="M22" s="9" t="s">
        <v>40</v>
      </c>
      <c r="N22" s="10" t="n">
        <v>46081</v>
      </c>
      <c r="O22" s="9" t="str">
        <f aca="false">O4</f>
        <v>Include DTHC、DDF</v>
      </c>
      <c r="P22" s="9"/>
    </row>
    <row r="23" s="31" customFormat="true" ht="42.75" hidden="false" customHeight="false" outlineLevel="0" collapsed="false">
      <c r="A23" s="2"/>
      <c r="B23" s="7" t="s">
        <v>35</v>
      </c>
      <c r="C23" s="50" t="n">
        <v>1540</v>
      </c>
      <c r="D23" s="50" t="s">
        <v>72</v>
      </c>
      <c r="E23" s="44" t="n">
        <v>1930</v>
      </c>
      <c r="F23" s="50" t="s">
        <v>72</v>
      </c>
      <c r="G23" s="9" t="s">
        <v>93</v>
      </c>
      <c r="H23" s="9" t="str">
        <f aca="false">H5</f>
        <v>Vladivostok Commercial / Fish Port</v>
      </c>
      <c r="I23" s="10" t="s">
        <v>97</v>
      </c>
      <c r="J23" s="10" t="n">
        <f aca="false">K23-3</f>
        <v>46077</v>
      </c>
      <c r="K23" s="10" t="n">
        <v>46080</v>
      </c>
      <c r="L23" s="18" t="s">
        <v>95</v>
      </c>
      <c r="M23" s="9" t="s">
        <v>40</v>
      </c>
      <c r="N23" s="10" t="n">
        <v>46081</v>
      </c>
      <c r="O23" s="12" t="str">
        <f aca="false">O5</f>
        <v>Include DTHC
Exclude DDF $50/bill</v>
      </c>
      <c r="P23" s="9"/>
    </row>
    <row r="24" s="31" customFormat="true" ht="56.6" hidden="false" customHeight="false" outlineLevel="0" collapsed="false">
      <c r="A24" s="2"/>
      <c r="B24" s="14" t="s">
        <v>98</v>
      </c>
      <c r="C24" s="51" t="n">
        <v>1440</v>
      </c>
      <c r="D24" s="8" t="s">
        <v>73</v>
      </c>
      <c r="E24" s="44" t="n">
        <v>2010</v>
      </c>
      <c r="F24" s="8" t="s">
        <v>73</v>
      </c>
      <c r="G24" s="9" t="s">
        <v>93</v>
      </c>
      <c r="H24" s="9" t="str">
        <f aca="false">H6</f>
        <v>Vladivostok Fish Port</v>
      </c>
      <c r="I24" s="10" t="str">
        <f aca="false">I6</f>
        <v>YOULIAN QINGDAO
2605N</v>
      </c>
      <c r="J24" s="10" t="n">
        <f aca="false">J6</f>
        <v>46091</v>
      </c>
      <c r="K24" s="10" t="n">
        <f aca="false">K6</f>
        <v>46094</v>
      </c>
      <c r="L24" s="18" t="n">
        <v>5</v>
      </c>
      <c r="M24" s="9" t="s">
        <v>16</v>
      </c>
      <c r="N24" s="10" t="n">
        <v>46112</v>
      </c>
      <c r="O24" s="12" t="s">
        <v>100</v>
      </c>
      <c r="P24" s="9"/>
    </row>
    <row r="25" s="31" customFormat="true" ht="56.6" hidden="false" customHeight="false" outlineLevel="0" collapsed="false">
      <c r="A25" s="2"/>
      <c r="B25" s="14" t="s">
        <v>98</v>
      </c>
      <c r="C25" s="51" t="n">
        <v>1570</v>
      </c>
      <c r="D25" s="8" t="s">
        <v>73</v>
      </c>
      <c r="E25" s="44" t="n">
        <v>2050</v>
      </c>
      <c r="F25" s="8" t="s">
        <v>73</v>
      </c>
      <c r="G25" s="9" t="s">
        <v>93</v>
      </c>
      <c r="H25" s="9" t="str">
        <f aca="false">H7</f>
        <v>VRANGEL</v>
      </c>
      <c r="I25" s="10" t="str">
        <f aca="false">I7</f>
        <v>YOULIAN SHANGHAI
2605N</v>
      </c>
      <c r="J25" s="10" t="n">
        <f aca="false">J7</f>
        <v>46091</v>
      </c>
      <c r="K25" s="10" t="n">
        <f aca="false">K7</f>
        <v>46094</v>
      </c>
      <c r="L25" s="18" t="n">
        <v>5</v>
      </c>
      <c r="M25" s="9" t="s">
        <v>16</v>
      </c>
      <c r="N25" s="10" t="n">
        <v>46112</v>
      </c>
      <c r="O25" s="12" t="str">
        <f aca="false">O7</f>
        <v>Include DTHC $500/600
DTHC PP/CC Available</v>
      </c>
      <c r="P25" s="9"/>
    </row>
    <row r="26" s="31" customFormat="true" ht="28.9" hidden="false" customHeight="false" outlineLevel="0" collapsed="false">
      <c r="A26" s="2"/>
      <c r="B26" s="7" t="s">
        <v>102</v>
      </c>
      <c r="C26" s="44" t="s">
        <v>103</v>
      </c>
      <c r="D26" s="44" t="s">
        <v>73</v>
      </c>
      <c r="E26" s="44" t="s">
        <v>103</v>
      </c>
      <c r="F26" s="44" t="s">
        <v>73</v>
      </c>
      <c r="G26" s="9" t="s">
        <v>93</v>
      </c>
      <c r="H26" s="9" t="s">
        <v>61</v>
      </c>
      <c r="I26" s="10" t="s">
        <v>104</v>
      </c>
      <c r="J26" s="44" t="s">
        <v>103</v>
      </c>
      <c r="K26" s="44" t="s">
        <v>103</v>
      </c>
      <c r="L26" s="18" t="n">
        <v>7</v>
      </c>
      <c r="M26" s="9" t="s">
        <v>105</v>
      </c>
      <c r="N26" s="10" t="n">
        <v>46037</v>
      </c>
      <c r="O26" s="12" t="s">
        <v>63</v>
      </c>
      <c r="P26" s="9"/>
    </row>
    <row r="27" s="31" customFormat="true" ht="28.9" hidden="false" customHeight="false" outlineLevel="0" collapsed="false">
      <c r="A27" s="2"/>
      <c r="B27" s="7" t="s">
        <v>29</v>
      </c>
      <c r="C27" s="49" t="s">
        <v>30</v>
      </c>
      <c r="D27" s="52" t="s">
        <v>72</v>
      </c>
      <c r="E27" s="49" t="s">
        <v>30</v>
      </c>
      <c r="F27" s="52" t="s">
        <v>72</v>
      </c>
      <c r="G27" s="9" t="s">
        <v>91</v>
      </c>
      <c r="H27" s="9" t="str">
        <f aca="false">H9</f>
        <v>Vladivostok Commercial Port</v>
      </c>
      <c r="I27" s="10" t="str">
        <f aca="false">I9</f>
        <v>HAI SHUN FENG 27
2601N</v>
      </c>
      <c r="J27" s="10" t="n">
        <f aca="false">J9</f>
        <v>46056</v>
      </c>
      <c r="K27" s="10" t="n">
        <f aca="false">K9</f>
        <v>46059</v>
      </c>
      <c r="L27" s="18" t="n">
        <v>8</v>
      </c>
      <c r="M27" s="9" t="s">
        <v>16</v>
      </c>
      <c r="N27" s="10" t="n">
        <v>46081</v>
      </c>
      <c r="O27" s="9" t="str">
        <f aca="false">O9</f>
        <v>Include DTHC、DDF</v>
      </c>
      <c r="P27" s="9"/>
    </row>
    <row r="28" s="31" customFormat="true" ht="40" hidden="false" customHeight="true" outlineLevel="0" collapsed="false">
      <c r="A28" s="2"/>
      <c r="B28" s="14" t="s">
        <v>106</v>
      </c>
      <c r="C28" s="44" t="n">
        <v>1500</v>
      </c>
      <c r="D28" s="50" t="s">
        <v>73</v>
      </c>
      <c r="E28" s="44" t="n">
        <v>1950</v>
      </c>
      <c r="F28" s="50" t="s">
        <v>73</v>
      </c>
      <c r="G28" s="9" t="s">
        <v>91</v>
      </c>
      <c r="H28" s="9" t="s">
        <v>50</v>
      </c>
      <c r="I28" s="10" t="str">
        <f aca="false">I10</f>
        <v>DATU HONOR
26002N</v>
      </c>
      <c r="J28" s="10" t="n">
        <f aca="false">J10</f>
        <v>46075</v>
      </c>
      <c r="K28" s="10" t="n">
        <f aca="false">K10</f>
        <v>46078</v>
      </c>
      <c r="L28" s="18" t="n">
        <v>7</v>
      </c>
      <c r="M28" s="9" t="s">
        <v>16</v>
      </c>
      <c r="N28" s="10" t="n">
        <v>46078</v>
      </c>
      <c r="O28" s="45" t="s">
        <v>121</v>
      </c>
      <c r="P28" s="12" t="s">
        <v>109</v>
      </c>
    </row>
    <row r="29" s="31" customFormat="true" ht="40" hidden="false" customHeight="true" outlineLevel="0" collapsed="false">
      <c r="A29" s="2"/>
      <c r="B29" s="14" t="s">
        <v>106</v>
      </c>
      <c r="C29" s="44" t="n">
        <v>1645</v>
      </c>
      <c r="D29" s="50" t="s">
        <v>73</v>
      </c>
      <c r="E29" s="44" t="n">
        <v>1990</v>
      </c>
      <c r="F29" s="50" t="s">
        <v>73</v>
      </c>
      <c r="G29" s="9" t="s">
        <v>91</v>
      </c>
      <c r="H29" s="9" t="s">
        <v>74</v>
      </c>
      <c r="I29" s="10" t="str">
        <f aca="false">I11</f>
        <v>DATU HONOR
26002N</v>
      </c>
      <c r="J29" s="10" t="n">
        <f aca="false">J11</f>
        <v>46075</v>
      </c>
      <c r="K29" s="10" t="n">
        <f aca="false">K11</f>
        <v>46078</v>
      </c>
      <c r="L29" s="18" t="n">
        <v>5</v>
      </c>
      <c r="M29" s="9" t="s">
        <v>16</v>
      </c>
      <c r="N29" s="10" t="n">
        <v>46078</v>
      </c>
      <c r="O29" s="45" t="s">
        <v>121</v>
      </c>
      <c r="P29" s="12"/>
    </row>
    <row r="30" s="31" customFormat="true" ht="40" hidden="false" customHeight="true" outlineLevel="0" collapsed="false">
      <c r="A30" s="2"/>
      <c r="B30" s="14" t="s">
        <v>110</v>
      </c>
      <c r="C30" s="49" t="n">
        <v>1240</v>
      </c>
      <c r="D30" s="49" t="s">
        <v>73</v>
      </c>
      <c r="E30" s="52" t="n">
        <v>2030</v>
      </c>
      <c r="F30" s="49" t="s">
        <v>72</v>
      </c>
      <c r="G30" s="9" t="s">
        <v>91</v>
      </c>
      <c r="H30" s="9" t="s">
        <v>14</v>
      </c>
      <c r="I30" s="10" t="str">
        <f aca="false">I12</f>
        <v>GANG TONG 19
119W</v>
      </c>
      <c r="J30" s="10" t="n">
        <f aca="false">J12</f>
        <v>46086</v>
      </c>
      <c r="K30" s="10" t="n">
        <f aca="false">K12</f>
        <v>46089</v>
      </c>
      <c r="L30" s="18" t="n">
        <v>7</v>
      </c>
      <c r="M30" s="9" t="s">
        <v>16</v>
      </c>
      <c r="N30" s="10" t="n">
        <v>46089</v>
      </c>
      <c r="O30" s="42" t="s">
        <v>96</v>
      </c>
      <c r="P30" s="12" t="s">
        <v>112</v>
      </c>
    </row>
    <row r="31" s="31" customFormat="true" ht="40" hidden="false" customHeight="true" outlineLevel="0" collapsed="false">
      <c r="A31" s="2"/>
      <c r="B31" s="14" t="s">
        <v>110</v>
      </c>
      <c r="C31" s="49" t="n">
        <v>1370</v>
      </c>
      <c r="D31" s="49" t="s">
        <v>73</v>
      </c>
      <c r="E31" s="52" t="n">
        <v>2030</v>
      </c>
      <c r="F31" s="49" t="s">
        <v>72</v>
      </c>
      <c r="G31" s="9" t="s">
        <v>91</v>
      </c>
      <c r="H31" s="9" t="s">
        <v>74</v>
      </c>
      <c r="I31" s="10" t="str">
        <f aca="false">I13</f>
        <v>GANG TONG 19
119W</v>
      </c>
      <c r="J31" s="10" t="n">
        <f aca="false">J13</f>
        <v>46086</v>
      </c>
      <c r="K31" s="10" t="n">
        <f aca="false">K13</f>
        <v>46089</v>
      </c>
      <c r="L31" s="18" t="n">
        <v>8</v>
      </c>
      <c r="M31" s="9" t="s">
        <v>16</v>
      </c>
      <c r="N31" s="10" t="n">
        <v>46089</v>
      </c>
      <c r="O31" s="42" t="s">
        <v>96</v>
      </c>
      <c r="P31" s="12"/>
    </row>
    <row r="32" s="31" customFormat="true" ht="28.9" hidden="false" customHeight="false" outlineLevel="0" collapsed="false">
      <c r="A32" s="2"/>
      <c r="B32" s="7" t="s">
        <v>66</v>
      </c>
      <c r="C32" s="49" t="s">
        <v>30</v>
      </c>
      <c r="D32" s="49" t="s">
        <v>30</v>
      </c>
      <c r="E32" s="52" t="s">
        <v>30</v>
      </c>
      <c r="F32" s="49" t="s">
        <v>30</v>
      </c>
      <c r="G32" s="9" t="s">
        <v>91</v>
      </c>
      <c r="H32" s="12" t="s">
        <v>67</v>
      </c>
      <c r="I32" s="10" t="s">
        <v>122</v>
      </c>
      <c r="J32" s="10" t="n">
        <f aca="false">K32-3</f>
        <v>46063</v>
      </c>
      <c r="K32" s="10" t="n">
        <v>46066</v>
      </c>
      <c r="L32" s="18" t="n">
        <f aca="false">L14</f>
        <v>7</v>
      </c>
      <c r="M32" s="9" t="str">
        <f aca="false">M14</f>
        <v>DIRECT</v>
      </c>
      <c r="N32" s="10" t="n">
        <v>46081</v>
      </c>
      <c r="O32" s="9" t="str">
        <f aca="false">O14</f>
        <v>Include DTHC、DDF</v>
      </c>
      <c r="P32" s="9"/>
    </row>
    <row r="33" s="31" customFormat="true" ht="28.9" hidden="false" customHeight="false" outlineLevel="0" collapsed="false">
      <c r="A33" s="2"/>
      <c r="B33" s="7" t="s">
        <v>66</v>
      </c>
      <c r="C33" s="49" t="n">
        <v>1200</v>
      </c>
      <c r="D33" s="52" t="s">
        <v>73</v>
      </c>
      <c r="E33" s="49" t="n">
        <v>1930</v>
      </c>
      <c r="F33" s="52" t="s">
        <v>73</v>
      </c>
      <c r="G33" s="9" t="s">
        <v>91</v>
      </c>
      <c r="H33" s="12" t="s">
        <v>50</v>
      </c>
      <c r="I33" s="10" t="s">
        <v>123</v>
      </c>
      <c r="J33" s="10" t="n">
        <f aca="false">K33-3</f>
        <v>46074</v>
      </c>
      <c r="K33" s="10" t="n">
        <v>46077</v>
      </c>
      <c r="L33" s="18" t="n">
        <f aca="false">L15</f>
        <v>5</v>
      </c>
      <c r="M33" s="9" t="str">
        <f aca="false">M15</f>
        <v>DIRECT</v>
      </c>
      <c r="N33" s="10" t="n">
        <v>46081</v>
      </c>
      <c r="O33" s="9" t="str">
        <f aca="false">O15</f>
        <v>Include DTHC</v>
      </c>
      <c r="P33" s="9"/>
    </row>
    <row r="34" s="31" customFormat="true" ht="28.9" hidden="false" customHeight="false" outlineLevel="0" collapsed="false">
      <c r="A34" s="2"/>
      <c r="B34" s="7" t="s">
        <v>102</v>
      </c>
      <c r="C34" s="49" t="s">
        <v>103</v>
      </c>
      <c r="D34" s="49" t="s">
        <v>73</v>
      </c>
      <c r="E34" s="52" t="s">
        <v>103</v>
      </c>
      <c r="F34" s="49" t="s">
        <v>73</v>
      </c>
      <c r="G34" s="9" t="s">
        <v>114</v>
      </c>
      <c r="H34" s="9" t="s">
        <v>61</v>
      </c>
      <c r="I34" s="10" t="s">
        <v>104</v>
      </c>
      <c r="J34" s="44" t="s">
        <v>103</v>
      </c>
      <c r="K34" s="44" t="s">
        <v>103</v>
      </c>
      <c r="L34" s="18" t="n">
        <v>5</v>
      </c>
      <c r="M34" s="9" t="s">
        <v>16</v>
      </c>
      <c r="N34" s="10" t="n">
        <v>46042</v>
      </c>
      <c r="O34" s="12" t="s">
        <v>63</v>
      </c>
      <c r="P34" s="9"/>
    </row>
    <row r="35" s="31" customFormat="true" ht="28.9" hidden="false" customHeight="true" outlineLevel="0" collapsed="false">
      <c r="A35" s="2"/>
      <c r="B35" s="7" t="s">
        <v>64</v>
      </c>
      <c r="C35" s="8" t="n">
        <v>1530</v>
      </c>
      <c r="D35" s="49" t="s">
        <v>72</v>
      </c>
      <c r="E35" s="8" t="n">
        <v>1905</v>
      </c>
      <c r="F35" s="8" t="s">
        <v>72</v>
      </c>
      <c r="G35" s="9" t="s">
        <v>114</v>
      </c>
      <c r="H35" s="9" t="s">
        <v>74</v>
      </c>
      <c r="I35" s="10" t="str">
        <f aca="false">I16</f>
        <v>BELLE ARIES
2607N</v>
      </c>
      <c r="J35" s="10" t="n">
        <f aca="false">J16</f>
        <v>46079</v>
      </c>
      <c r="K35" s="10" t="n">
        <f aca="false">K16</f>
        <v>46082</v>
      </c>
      <c r="L35" s="18" t="n">
        <v>5</v>
      </c>
      <c r="M35" s="9" t="s">
        <v>16</v>
      </c>
      <c r="N35" s="10" t="n">
        <v>46082</v>
      </c>
      <c r="O35" s="9" t="str">
        <f aca="false">O16</f>
        <v>Include DTHC、DDF</v>
      </c>
      <c r="P35" s="12" t="s">
        <v>115</v>
      </c>
    </row>
    <row r="36" s="31" customFormat="true" ht="28.9" hidden="false" customHeight="false" outlineLevel="0" collapsed="false">
      <c r="A36" s="2"/>
      <c r="B36" s="7" t="s">
        <v>54</v>
      </c>
      <c r="C36" s="49" t="n">
        <v>1490</v>
      </c>
      <c r="D36" s="52" t="s">
        <v>73</v>
      </c>
      <c r="E36" s="49" t="n">
        <v>1960</v>
      </c>
      <c r="F36" s="52" t="s">
        <v>73</v>
      </c>
      <c r="G36" s="9" t="s">
        <v>114</v>
      </c>
      <c r="H36" s="17" t="s">
        <v>124</v>
      </c>
      <c r="I36" s="10" t="s">
        <v>125</v>
      </c>
      <c r="J36" s="15" t="n">
        <f aca="false">K36-3</f>
        <v>46088</v>
      </c>
      <c r="K36" s="15" t="n">
        <v>46091</v>
      </c>
      <c r="L36" s="18" t="n">
        <v>7</v>
      </c>
      <c r="M36" s="9" t="s">
        <v>16</v>
      </c>
      <c r="N36" s="10" t="n">
        <v>46096</v>
      </c>
      <c r="O36" s="42" t="s">
        <v>96</v>
      </c>
      <c r="P36" s="12"/>
    </row>
    <row r="37" s="31" customFormat="true" ht="28.9" hidden="false" customHeight="false" outlineLevel="0" collapsed="false">
      <c r="A37" s="2"/>
      <c r="B37" s="7" t="s">
        <v>54</v>
      </c>
      <c r="C37" s="49" t="n">
        <v>1635</v>
      </c>
      <c r="D37" s="52" t="s">
        <v>73</v>
      </c>
      <c r="E37" s="49" t="n">
        <v>2020</v>
      </c>
      <c r="F37" s="52" t="s">
        <v>73</v>
      </c>
      <c r="G37" s="9" t="s">
        <v>114</v>
      </c>
      <c r="H37" s="9" t="s">
        <v>74</v>
      </c>
      <c r="I37" s="10" t="s">
        <v>126</v>
      </c>
      <c r="J37" s="15" t="n">
        <f aca="false">K37-3</f>
        <v>46079</v>
      </c>
      <c r="K37" s="15" t="n">
        <v>46082</v>
      </c>
      <c r="L37" s="18" t="n">
        <v>7</v>
      </c>
      <c r="M37" s="9" t="s">
        <v>16</v>
      </c>
      <c r="N37" s="10" t="n">
        <v>46096</v>
      </c>
      <c r="O37" s="42" t="s">
        <v>96</v>
      </c>
      <c r="P37" s="12"/>
      <c r="Q37" s="53" t="s">
        <v>75</v>
      </c>
    </row>
    <row r="38" s="31" customFormat="true" ht="13.5" hidden="false" customHeight="false" outlineLevel="0" collapsed="false">
      <c r="C38" s="49"/>
      <c r="D38" s="49"/>
      <c r="E38" s="52"/>
      <c r="F38" s="49"/>
    </row>
    <row r="39" customFormat="false" ht="15.05" hidden="false" customHeight="true" outlineLevel="0" collapsed="false">
      <c r="A39" s="2" t="s">
        <v>127</v>
      </c>
      <c r="B39" s="3" t="s">
        <v>1</v>
      </c>
      <c r="C39" s="48" t="s">
        <v>70</v>
      </c>
      <c r="D39" s="48"/>
      <c r="E39" s="48" t="s">
        <v>71</v>
      </c>
      <c r="F39" s="48"/>
      <c r="G39" s="4" t="s">
        <v>89</v>
      </c>
      <c r="H39" s="4" t="s">
        <v>4</v>
      </c>
      <c r="I39" s="4" t="s">
        <v>5</v>
      </c>
      <c r="J39" s="4" t="s">
        <v>6</v>
      </c>
      <c r="K39" s="4" t="s">
        <v>7</v>
      </c>
      <c r="L39" s="4" t="s">
        <v>8</v>
      </c>
      <c r="M39" s="4" t="s">
        <v>9</v>
      </c>
      <c r="N39" s="5" t="s">
        <v>10</v>
      </c>
      <c r="O39" s="5" t="s">
        <v>11</v>
      </c>
      <c r="P39" s="5" t="s">
        <v>90</v>
      </c>
    </row>
    <row r="40" customFormat="false" ht="35" hidden="false" customHeight="true" outlineLevel="0" collapsed="false">
      <c r="A40" s="2"/>
      <c r="B40" s="54" t="s">
        <v>13</v>
      </c>
      <c r="C40" s="49" t="n">
        <v>1770</v>
      </c>
      <c r="D40" s="49" t="s">
        <v>72</v>
      </c>
      <c r="E40" s="52" t="n">
        <v>2480</v>
      </c>
      <c r="F40" s="49" t="s">
        <v>72</v>
      </c>
      <c r="G40" s="9" t="s">
        <v>91</v>
      </c>
      <c r="H40" s="9" t="s">
        <v>14</v>
      </c>
      <c r="I40" s="10" t="str">
        <f aca="false">I2</f>
        <v>HAI SHUN FENG 27
2603N</v>
      </c>
      <c r="J40" s="10" t="n">
        <f aca="false">J2</f>
        <v>46088</v>
      </c>
      <c r="K40" s="10" t="n">
        <f aca="false">K2</f>
        <v>46091</v>
      </c>
      <c r="L40" s="18" t="n">
        <v>8</v>
      </c>
      <c r="M40" s="9" t="s">
        <v>16</v>
      </c>
      <c r="N40" s="10" t="n">
        <f aca="false">N2</f>
        <v>46091</v>
      </c>
      <c r="O40" s="12" t="s">
        <v>41</v>
      </c>
      <c r="P40" s="12" t="s">
        <v>92</v>
      </c>
    </row>
    <row r="41" customFormat="false" ht="35" hidden="false" customHeight="true" outlineLevel="0" collapsed="false">
      <c r="A41" s="2"/>
      <c r="B41" s="54" t="s">
        <v>13</v>
      </c>
      <c r="C41" s="49" t="n">
        <v>1745</v>
      </c>
      <c r="D41" s="49" t="s">
        <v>72</v>
      </c>
      <c r="E41" s="52" t="n">
        <v>2405</v>
      </c>
      <c r="F41" s="49" t="s">
        <v>72</v>
      </c>
      <c r="G41" s="9" t="s">
        <v>91</v>
      </c>
      <c r="H41" s="9" t="s">
        <v>19</v>
      </c>
      <c r="I41" s="10" t="str">
        <f aca="false">I2</f>
        <v>HAI SHUN FENG 27
2603N</v>
      </c>
      <c r="J41" s="10" t="n">
        <f aca="false">J2</f>
        <v>46088</v>
      </c>
      <c r="K41" s="10" t="n">
        <f aca="false">K2</f>
        <v>46091</v>
      </c>
      <c r="L41" s="18" t="n">
        <v>10</v>
      </c>
      <c r="M41" s="9" t="s">
        <v>16</v>
      </c>
      <c r="N41" s="10" t="n">
        <f aca="false">N2</f>
        <v>46091</v>
      </c>
      <c r="O41" s="12" t="s">
        <v>41</v>
      </c>
      <c r="P41" s="12"/>
    </row>
    <row r="42" customFormat="false" ht="27" hidden="false" customHeight="true" outlineLevel="0" collapsed="false">
      <c r="A42" s="2"/>
      <c r="B42" s="7" t="s">
        <v>49</v>
      </c>
      <c r="C42" s="19" t="n">
        <v>1460</v>
      </c>
      <c r="D42" s="8" t="s">
        <v>72</v>
      </c>
      <c r="E42" s="8" t="n">
        <v>2560</v>
      </c>
      <c r="F42" s="8" t="s">
        <v>72</v>
      </c>
      <c r="G42" s="9" t="s">
        <v>93</v>
      </c>
      <c r="H42" s="9" t="str">
        <f aca="false">H24</f>
        <v>Vladivostok Fish Port</v>
      </c>
      <c r="I42" s="10" t="s">
        <v>94</v>
      </c>
      <c r="J42" s="10" t="n">
        <f aca="false">K42-3</f>
        <v>46078</v>
      </c>
      <c r="K42" s="10" t="n">
        <v>46081</v>
      </c>
      <c r="L42" s="16" t="s">
        <v>95</v>
      </c>
      <c r="M42" s="9" t="s">
        <v>40</v>
      </c>
      <c r="N42" s="10" t="n">
        <v>46081</v>
      </c>
      <c r="O42" s="42" t="s">
        <v>96</v>
      </c>
      <c r="P42" s="43"/>
    </row>
    <row r="43" customFormat="false" ht="42.75" hidden="false" customHeight="false" outlineLevel="0" collapsed="false">
      <c r="A43" s="2"/>
      <c r="B43" s="7" t="s">
        <v>35</v>
      </c>
      <c r="C43" s="49" t="n">
        <v>2005</v>
      </c>
      <c r="D43" s="49" t="s">
        <v>73</v>
      </c>
      <c r="E43" s="52" t="n">
        <v>2980</v>
      </c>
      <c r="F43" s="49" t="s">
        <v>73</v>
      </c>
      <c r="G43" s="9" t="s">
        <v>93</v>
      </c>
      <c r="H43" s="9" t="s">
        <v>22</v>
      </c>
      <c r="I43" s="10" t="s">
        <v>97</v>
      </c>
      <c r="J43" s="10" t="n">
        <f aca="false">K43-3</f>
        <v>46077</v>
      </c>
      <c r="K43" s="10" t="n">
        <v>46080</v>
      </c>
      <c r="L43" s="18" t="s">
        <v>95</v>
      </c>
      <c r="M43" s="9" t="s">
        <v>40</v>
      </c>
      <c r="N43" s="10" t="n">
        <v>46081</v>
      </c>
      <c r="O43" s="12" t="s">
        <v>41</v>
      </c>
      <c r="P43" s="43"/>
    </row>
    <row r="44" customFormat="false" ht="56.6" hidden="false" customHeight="false" outlineLevel="0" collapsed="false">
      <c r="A44" s="2"/>
      <c r="B44" s="14" t="s">
        <v>98</v>
      </c>
      <c r="C44" s="51" t="n">
        <v>1790</v>
      </c>
      <c r="D44" s="8" t="s">
        <v>73</v>
      </c>
      <c r="E44" s="44" t="n">
        <v>2730</v>
      </c>
      <c r="F44" s="8" t="s">
        <v>73</v>
      </c>
      <c r="G44" s="9" t="s">
        <v>93</v>
      </c>
      <c r="H44" s="9" t="s">
        <v>50</v>
      </c>
      <c r="I44" s="10" t="str">
        <f aca="false">I6</f>
        <v>YOULIAN QINGDAO
2605N</v>
      </c>
      <c r="J44" s="10" t="n">
        <f aca="false">J6</f>
        <v>46091</v>
      </c>
      <c r="K44" s="10" t="n">
        <f aca="false">K6</f>
        <v>46094</v>
      </c>
      <c r="L44" s="18" t="n">
        <v>5</v>
      </c>
      <c r="M44" s="9" t="s">
        <v>16</v>
      </c>
      <c r="N44" s="10" t="n">
        <v>46112</v>
      </c>
      <c r="O44" s="12" t="s">
        <v>100</v>
      </c>
      <c r="P44" s="43"/>
    </row>
    <row r="45" customFormat="false" ht="56.6" hidden="false" customHeight="false" outlineLevel="0" collapsed="false">
      <c r="A45" s="2"/>
      <c r="B45" s="14" t="s">
        <v>98</v>
      </c>
      <c r="C45" s="51" t="n">
        <v>1790</v>
      </c>
      <c r="D45" s="8" t="s">
        <v>73</v>
      </c>
      <c r="E45" s="44" t="n">
        <v>2730</v>
      </c>
      <c r="F45" s="8" t="s">
        <v>73</v>
      </c>
      <c r="G45" s="9" t="s">
        <v>93</v>
      </c>
      <c r="H45" s="9" t="s">
        <v>74</v>
      </c>
      <c r="I45" s="10" t="str">
        <f aca="false">I7</f>
        <v>YOULIAN SHANGHAI
2605N</v>
      </c>
      <c r="J45" s="10" t="n">
        <f aca="false">J7</f>
        <v>46091</v>
      </c>
      <c r="K45" s="10" t="n">
        <f aca="false">K7</f>
        <v>46094</v>
      </c>
      <c r="L45" s="18" t="n">
        <v>5</v>
      </c>
      <c r="M45" s="9" t="s">
        <v>16</v>
      </c>
      <c r="N45" s="10" t="n">
        <v>46112</v>
      </c>
      <c r="O45" s="12" t="s">
        <v>100</v>
      </c>
      <c r="P45" s="43"/>
    </row>
    <row r="46" customFormat="false" ht="28.9" hidden="false" customHeight="false" outlineLevel="0" collapsed="false">
      <c r="A46" s="2"/>
      <c r="B46" s="7" t="s">
        <v>102</v>
      </c>
      <c r="C46" s="49" t="s">
        <v>103</v>
      </c>
      <c r="D46" s="49" t="s">
        <v>73</v>
      </c>
      <c r="E46" s="52" t="s">
        <v>103</v>
      </c>
      <c r="F46" s="49" t="s">
        <v>73</v>
      </c>
      <c r="G46" s="9" t="s">
        <v>93</v>
      </c>
      <c r="H46" s="9" t="s">
        <v>61</v>
      </c>
      <c r="I46" s="10" t="s">
        <v>104</v>
      </c>
      <c r="J46" s="44" t="s">
        <v>103</v>
      </c>
      <c r="K46" s="44" t="s">
        <v>103</v>
      </c>
      <c r="L46" s="18" t="n">
        <v>7</v>
      </c>
      <c r="M46" s="9" t="s">
        <v>105</v>
      </c>
      <c r="N46" s="10" t="n">
        <v>46037</v>
      </c>
      <c r="O46" s="12" t="s">
        <v>63</v>
      </c>
      <c r="P46" s="43"/>
    </row>
    <row r="47" customFormat="false" ht="28.9" hidden="false" customHeight="false" outlineLevel="0" collapsed="false">
      <c r="A47" s="2"/>
      <c r="B47" s="7" t="s">
        <v>29</v>
      </c>
      <c r="C47" s="49" t="s">
        <v>30</v>
      </c>
      <c r="D47" s="52" t="s">
        <v>73</v>
      </c>
      <c r="E47" s="49" t="s">
        <v>30</v>
      </c>
      <c r="F47" s="52" t="s">
        <v>73</v>
      </c>
      <c r="G47" s="9" t="s">
        <v>91</v>
      </c>
      <c r="H47" s="9" t="s">
        <v>14</v>
      </c>
      <c r="I47" s="10" t="str">
        <f aca="false">I9</f>
        <v>HAI SHUN FENG 27
2601N</v>
      </c>
      <c r="J47" s="10" t="n">
        <f aca="false">J9</f>
        <v>46056</v>
      </c>
      <c r="K47" s="10" t="n">
        <f aca="false">K9</f>
        <v>46059</v>
      </c>
      <c r="L47" s="18" t="n">
        <v>8</v>
      </c>
      <c r="M47" s="9" t="s">
        <v>16</v>
      </c>
      <c r="N47" s="10" t="n">
        <v>46081</v>
      </c>
      <c r="O47" s="42" t="s">
        <v>96</v>
      </c>
      <c r="P47" s="43"/>
    </row>
    <row r="48" customFormat="false" ht="40" hidden="false" customHeight="true" outlineLevel="0" collapsed="false">
      <c r="A48" s="2"/>
      <c r="B48" s="14" t="s">
        <v>106</v>
      </c>
      <c r="C48" s="49" t="n">
        <v>1865</v>
      </c>
      <c r="D48" s="49" t="s">
        <v>73</v>
      </c>
      <c r="E48" s="52" t="n">
        <v>2650</v>
      </c>
      <c r="F48" s="49" t="s">
        <v>73</v>
      </c>
      <c r="G48" s="9" t="s">
        <v>91</v>
      </c>
      <c r="H48" s="9" t="s">
        <v>50</v>
      </c>
      <c r="I48" s="10" t="str">
        <f aca="false">I10</f>
        <v>DATU HONOR
26002N</v>
      </c>
      <c r="J48" s="10" t="n">
        <f aca="false">J10</f>
        <v>46075</v>
      </c>
      <c r="K48" s="10" t="n">
        <f aca="false">K10</f>
        <v>46078</v>
      </c>
      <c r="L48" s="18" t="n">
        <v>7</v>
      </c>
      <c r="M48" s="9" t="s">
        <v>16</v>
      </c>
      <c r="N48" s="10" t="n">
        <v>46078</v>
      </c>
      <c r="O48" s="45" t="s">
        <v>121</v>
      </c>
      <c r="P48" s="12" t="s">
        <v>109</v>
      </c>
    </row>
    <row r="49" customFormat="false" ht="40" hidden="false" customHeight="true" outlineLevel="0" collapsed="false">
      <c r="A49" s="2"/>
      <c r="B49" s="14" t="s">
        <v>106</v>
      </c>
      <c r="C49" s="49" t="n">
        <v>1865</v>
      </c>
      <c r="D49" s="49" t="s">
        <v>73</v>
      </c>
      <c r="E49" s="52" t="n">
        <v>2650</v>
      </c>
      <c r="F49" s="49" t="s">
        <v>73</v>
      </c>
      <c r="G49" s="9" t="s">
        <v>91</v>
      </c>
      <c r="H49" s="9" t="s">
        <v>74</v>
      </c>
      <c r="I49" s="10" t="str">
        <f aca="false">I11</f>
        <v>DATU HONOR
26002N</v>
      </c>
      <c r="J49" s="10" t="n">
        <f aca="false">J11</f>
        <v>46075</v>
      </c>
      <c r="K49" s="10" t="n">
        <f aca="false">K11</f>
        <v>46078</v>
      </c>
      <c r="L49" s="18" t="n">
        <v>5</v>
      </c>
      <c r="M49" s="9" t="s">
        <v>16</v>
      </c>
      <c r="N49" s="10" t="n">
        <v>46078</v>
      </c>
      <c r="O49" s="45" t="s">
        <v>121</v>
      </c>
      <c r="P49" s="12"/>
    </row>
    <row r="50" customFormat="false" ht="40" hidden="false" customHeight="true" outlineLevel="0" collapsed="false">
      <c r="A50" s="2"/>
      <c r="B50" s="14" t="s">
        <v>110</v>
      </c>
      <c r="C50" s="49" t="n">
        <v>1540</v>
      </c>
      <c r="D50" s="49" t="s">
        <v>72</v>
      </c>
      <c r="E50" s="52" t="n">
        <v>2430</v>
      </c>
      <c r="F50" s="49" t="s">
        <v>72</v>
      </c>
      <c r="G50" s="9" t="s">
        <v>91</v>
      </c>
      <c r="H50" s="9" t="s">
        <v>14</v>
      </c>
      <c r="I50" s="10" t="str">
        <f aca="false">I12</f>
        <v>GANG TONG 19
119W</v>
      </c>
      <c r="J50" s="10" t="n">
        <f aca="false">J12</f>
        <v>46086</v>
      </c>
      <c r="K50" s="10" t="n">
        <f aca="false">K12</f>
        <v>46089</v>
      </c>
      <c r="L50" s="18" t="n">
        <v>7</v>
      </c>
      <c r="M50" s="9" t="s">
        <v>16</v>
      </c>
      <c r="N50" s="10" t="n">
        <v>46089</v>
      </c>
      <c r="O50" s="42" t="s">
        <v>96</v>
      </c>
      <c r="P50" s="12" t="s">
        <v>112</v>
      </c>
    </row>
    <row r="51" customFormat="false" ht="40" hidden="false" customHeight="true" outlineLevel="0" collapsed="false">
      <c r="A51" s="2"/>
      <c r="B51" s="14" t="s">
        <v>110</v>
      </c>
      <c r="C51" s="49" t="n">
        <v>1540</v>
      </c>
      <c r="D51" s="49" t="s">
        <v>72</v>
      </c>
      <c r="E51" s="52" t="n">
        <v>2430</v>
      </c>
      <c r="F51" s="49" t="s">
        <v>72</v>
      </c>
      <c r="G51" s="9" t="s">
        <v>91</v>
      </c>
      <c r="H51" s="9" t="s">
        <v>74</v>
      </c>
      <c r="I51" s="10" t="str">
        <f aca="false">I13</f>
        <v>GANG TONG 19
119W</v>
      </c>
      <c r="J51" s="10" t="n">
        <f aca="false">J13</f>
        <v>46086</v>
      </c>
      <c r="K51" s="10" t="n">
        <f aca="false">K13</f>
        <v>46089</v>
      </c>
      <c r="L51" s="18" t="n">
        <v>8</v>
      </c>
      <c r="M51" s="9" t="s">
        <v>16</v>
      </c>
      <c r="N51" s="10" t="n">
        <v>46089</v>
      </c>
      <c r="O51" s="42" t="s">
        <v>96</v>
      </c>
      <c r="P51" s="12"/>
    </row>
    <row r="52" customFormat="false" ht="28.9" hidden="false" customHeight="false" outlineLevel="0" collapsed="false">
      <c r="A52" s="2"/>
      <c r="B52" s="7" t="s">
        <v>66</v>
      </c>
      <c r="C52" s="49" t="n">
        <v>1550</v>
      </c>
      <c r="D52" s="52" t="s">
        <v>73</v>
      </c>
      <c r="E52" s="49" t="n">
        <v>2650</v>
      </c>
      <c r="F52" s="52" t="s">
        <v>73</v>
      </c>
      <c r="G52" s="9" t="s">
        <v>91</v>
      </c>
      <c r="H52" s="12" t="str">
        <f aca="false">H14</f>
        <v>Vladivostok Fish Port</v>
      </c>
      <c r="I52" s="12" t="str">
        <f aca="false">I14</f>
        <v>Crystal StPetersburg 22603W</v>
      </c>
      <c r="J52" s="10" t="n">
        <f aca="false">J14</f>
        <v>46074</v>
      </c>
      <c r="K52" s="10" t="n">
        <f aca="false">K14</f>
        <v>46077</v>
      </c>
      <c r="L52" s="18" t="n">
        <v>7</v>
      </c>
      <c r="M52" s="9" t="s">
        <v>16</v>
      </c>
      <c r="N52" s="10" t="n">
        <v>46081</v>
      </c>
      <c r="O52" s="42" t="s">
        <v>96</v>
      </c>
      <c r="P52" s="46"/>
    </row>
    <row r="53" customFormat="false" ht="28.9" hidden="false" customHeight="false" outlineLevel="0" collapsed="false">
      <c r="A53" s="2"/>
      <c r="B53" s="7" t="s">
        <v>102</v>
      </c>
      <c r="C53" s="49" t="s">
        <v>103</v>
      </c>
      <c r="D53" s="49" t="s">
        <v>73</v>
      </c>
      <c r="E53" s="52" t="s">
        <v>103</v>
      </c>
      <c r="F53" s="49" t="s">
        <v>73</v>
      </c>
      <c r="G53" s="9" t="s">
        <v>114</v>
      </c>
      <c r="H53" s="9" t="s">
        <v>61</v>
      </c>
      <c r="I53" s="10" t="s">
        <v>104</v>
      </c>
      <c r="J53" s="44" t="s">
        <v>103</v>
      </c>
      <c r="K53" s="44" t="s">
        <v>103</v>
      </c>
      <c r="L53" s="18" t="n">
        <v>5</v>
      </c>
      <c r="M53" s="9" t="s">
        <v>16</v>
      </c>
      <c r="N53" s="10" t="n">
        <v>46042</v>
      </c>
      <c r="O53" s="12" t="s">
        <v>63</v>
      </c>
      <c r="P53" s="46"/>
    </row>
    <row r="54" customFormat="false" ht="28.9" hidden="false" customHeight="true" outlineLevel="0" collapsed="false">
      <c r="A54" s="2"/>
      <c r="B54" s="7" t="s">
        <v>64</v>
      </c>
      <c r="C54" s="8" t="n">
        <v>1745</v>
      </c>
      <c r="D54" s="8" t="s">
        <v>73</v>
      </c>
      <c r="E54" s="8" t="n">
        <v>2605</v>
      </c>
      <c r="F54" s="8" t="s">
        <v>73</v>
      </c>
      <c r="G54" s="9" t="s">
        <v>114</v>
      </c>
      <c r="H54" s="9" t="s">
        <v>74</v>
      </c>
      <c r="I54" s="10" t="str">
        <f aca="false">I16</f>
        <v>BELLE ARIES
2607N</v>
      </c>
      <c r="J54" s="10" t="n">
        <f aca="false">J16</f>
        <v>46079</v>
      </c>
      <c r="K54" s="10" t="n">
        <f aca="false">K16</f>
        <v>46082</v>
      </c>
      <c r="L54" s="18" t="n">
        <v>5</v>
      </c>
      <c r="M54" s="9" t="s">
        <v>16</v>
      </c>
      <c r="N54" s="10" t="n">
        <v>46082</v>
      </c>
      <c r="O54" s="42" t="s">
        <v>96</v>
      </c>
      <c r="P54" s="12" t="s">
        <v>115</v>
      </c>
    </row>
    <row r="55" customFormat="false" ht="28.9" hidden="false" customHeight="false" outlineLevel="0" collapsed="false">
      <c r="A55" s="2"/>
      <c r="B55" s="7" t="s">
        <v>54</v>
      </c>
      <c r="C55" s="49" t="n">
        <v>1855</v>
      </c>
      <c r="D55" s="52" t="s">
        <v>73</v>
      </c>
      <c r="E55" s="49" t="n">
        <v>2680</v>
      </c>
      <c r="F55" s="52" t="s">
        <v>73</v>
      </c>
      <c r="G55" s="9" t="s">
        <v>114</v>
      </c>
      <c r="H55" s="12" t="s">
        <v>116</v>
      </c>
      <c r="I55" s="10" t="s">
        <v>117</v>
      </c>
      <c r="J55" s="15" t="s">
        <v>118</v>
      </c>
      <c r="K55" s="15" t="s">
        <v>119</v>
      </c>
      <c r="L55" s="18" t="n">
        <v>7</v>
      </c>
      <c r="M55" s="9" t="s">
        <v>16</v>
      </c>
      <c r="N55" s="10" t="n">
        <v>46096</v>
      </c>
      <c r="O55" s="42" t="s">
        <v>96</v>
      </c>
      <c r="P55" s="12"/>
      <c r="Q55" s="53" t="s">
        <v>75</v>
      </c>
    </row>
    <row r="56" s="55" customFormat="true" ht="12.75" hidden="false" customHeight="false" outlineLevel="0" collapsed="false">
      <c r="A56" s="33"/>
      <c r="B56" s="33"/>
      <c r="C56" s="49"/>
      <c r="D56" s="49"/>
      <c r="E56" s="52"/>
      <c r="F56" s="49"/>
      <c r="G56" s="33"/>
      <c r="H56" s="33"/>
      <c r="I56" s="33"/>
      <c r="J56" s="33"/>
      <c r="K56" s="33"/>
      <c r="L56" s="33"/>
      <c r="M56" s="33"/>
      <c r="Q56" s="39"/>
    </row>
    <row r="57" customFormat="false" ht="15.05" hidden="false" customHeight="true" outlineLevel="0" collapsed="false">
      <c r="A57" s="2" t="s">
        <v>128</v>
      </c>
      <c r="B57" s="3" t="s">
        <v>1</v>
      </c>
      <c r="C57" s="48" t="s">
        <v>70</v>
      </c>
      <c r="D57" s="48"/>
      <c r="E57" s="48" t="s">
        <v>71</v>
      </c>
      <c r="F57" s="48"/>
      <c r="G57" s="4" t="s">
        <v>89</v>
      </c>
      <c r="H57" s="4" t="s">
        <v>4</v>
      </c>
      <c r="I57" s="4" t="s">
        <v>5</v>
      </c>
      <c r="J57" s="4" t="s">
        <v>6</v>
      </c>
      <c r="K57" s="4" t="s">
        <v>7</v>
      </c>
      <c r="L57" s="4" t="s">
        <v>8</v>
      </c>
      <c r="M57" s="4" t="s">
        <v>9</v>
      </c>
      <c r="N57" s="5" t="s">
        <v>10</v>
      </c>
      <c r="O57" s="5" t="s">
        <v>11</v>
      </c>
      <c r="P57" s="5" t="s">
        <v>90</v>
      </c>
    </row>
    <row r="58" customFormat="false" ht="35" hidden="false" customHeight="true" outlineLevel="0" collapsed="false">
      <c r="A58" s="2"/>
      <c r="B58" s="7" t="s">
        <v>13</v>
      </c>
      <c r="C58" s="49" t="n">
        <v>1550</v>
      </c>
      <c r="D58" s="49" t="s">
        <v>72</v>
      </c>
      <c r="E58" s="52" t="n">
        <v>2250</v>
      </c>
      <c r="F58" s="49" t="s">
        <v>72</v>
      </c>
      <c r="G58" s="9" t="s">
        <v>91</v>
      </c>
      <c r="H58" s="9" t="s">
        <v>14</v>
      </c>
      <c r="I58" s="10" t="str">
        <f aca="false">I2</f>
        <v>HAI SHUN FENG 27
2603N</v>
      </c>
      <c r="J58" s="10" t="n">
        <f aca="false">J2</f>
        <v>46088</v>
      </c>
      <c r="K58" s="10" t="n">
        <f aca="false">K2</f>
        <v>46091</v>
      </c>
      <c r="L58" s="18" t="n">
        <v>8</v>
      </c>
      <c r="M58" s="9" t="s">
        <v>16</v>
      </c>
      <c r="N58" s="10" t="n">
        <f aca="false">N2</f>
        <v>46091</v>
      </c>
      <c r="O58" s="12" t="s">
        <v>41</v>
      </c>
      <c r="P58" s="12" t="s">
        <v>92</v>
      </c>
    </row>
    <row r="59" customFormat="false" ht="35" hidden="false" customHeight="true" outlineLevel="0" collapsed="false">
      <c r="A59" s="2"/>
      <c r="B59" s="7" t="s">
        <v>13</v>
      </c>
      <c r="C59" s="49" t="n">
        <v>1525</v>
      </c>
      <c r="D59" s="49" t="s">
        <v>72</v>
      </c>
      <c r="E59" s="52" t="n">
        <v>2175</v>
      </c>
      <c r="F59" s="49" t="s">
        <v>72</v>
      </c>
      <c r="G59" s="9" t="s">
        <v>91</v>
      </c>
      <c r="H59" s="9" t="s">
        <v>19</v>
      </c>
      <c r="I59" s="10" t="str">
        <f aca="false">I2</f>
        <v>HAI SHUN FENG 27
2603N</v>
      </c>
      <c r="J59" s="10" t="n">
        <f aca="false">J2</f>
        <v>46088</v>
      </c>
      <c r="K59" s="10" t="n">
        <f aca="false">K2</f>
        <v>46091</v>
      </c>
      <c r="L59" s="18" t="n">
        <v>10</v>
      </c>
      <c r="M59" s="9" t="s">
        <v>16</v>
      </c>
      <c r="N59" s="10" t="n">
        <f aca="false">N2</f>
        <v>46091</v>
      </c>
      <c r="O59" s="12" t="s">
        <v>41</v>
      </c>
      <c r="P59" s="12"/>
    </row>
    <row r="60" customFormat="false" ht="30" hidden="false" customHeight="true" outlineLevel="0" collapsed="false">
      <c r="A60" s="2"/>
      <c r="B60" s="7" t="s">
        <v>49</v>
      </c>
      <c r="C60" s="19" t="n">
        <v>1360</v>
      </c>
      <c r="D60" s="8" t="s">
        <v>72</v>
      </c>
      <c r="E60" s="8" t="n">
        <v>2360</v>
      </c>
      <c r="F60" s="8" t="s">
        <v>72</v>
      </c>
      <c r="G60" s="9" t="s">
        <v>93</v>
      </c>
      <c r="H60" s="9" t="str">
        <f aca="false">H42</f>
        <v>Vladivostok Fish Port</v>
      </c>
      <c r="I60" s="10" t="s">
        <v>94</v>
      </c>
      <c r="J60" s="10" t="n">
        <f aca="false">K60-3</f>
        <v>46078</v>
      </c>
      <c r="K60" s="10" t="n">
        <v>46081</v>
      </c>
      <c r="L60" s="16" t="s">
        <v>95</v>
      </c>
      <c r="M60" s="9" t="s">
        <v>40</v>
      </c>
      <c r="N60" s="10" t="n">
        <v>46081</v>
      </c>
      <c r="O60" s="42" t="s">
        <v>96</v>
      </c>
      <c r="P60" s="43"/>
    </row>
    <row r="61" customFormat="false" ht="42.75" hidden="false" customHeight="false" outlineLevel="0" collapsed="false">
      <c r="A61" s="2"/>
      <c r="B61" s="7" t="s">
        <v>35</v>
      </c>
      <c r="C61" s="49" t="n">
        <v>1805</v>
      </c>
      <c r="D61" s="49" t="s">
        <v>73</v>
      </c>
      <c r="E61" s="52" t="n">
        <v>2730</v>
      </c>
      <c r="F61" s="8" t="s">
        <v>72</v>
      </c>
      <c r="G61" s="9" t="s">
        <v>93</v>
      </c>
      <c r="H61" s="9" t="s">
        <v>22</v>
      </c>
      <c r="I61" s="10" t="s">
        <v>97</v>
      </c>
      <c r="J61" s="10" t="n">
        <f aca="false">K61-3</f>
        <v>46077</v>
      </c>
      <c r="K61" s="10" t="n">
        <v>46080</v>
      </c>
      <c r="L61" s="18" t="s">
        <v>95</v>
      </c>
      <c r="M61" s="9" t="s">
        <v>40</v>
      </c>
      <c r="N61" s="10" t="n">
        <v>46081</v>
      </c>
      <c r="O61" s="12" t="s">
        <v>41</v>
      </c>
      <c r="P61" s="43"/>
    </row>
    <row r="62" customFormat="false" ht="56.6" hidden="false" customHeight="false" outlineLevel="0" collapsed="false">
      <c r="A62" s="2"/>
      <c r="B62" s="14" t="s">
        <v>98</v>
      </c>
      <c r="C62" s="51" t="n">
        <v>1570</v>
      </c>
      <c r="D62" s="8" t="s">
        <v>73</v>
      </c>
      <c r="E62" s="44" t="n">
        <v>2510</v>
      </c>
      <c r="F62" s="8" t="s">
        <v>73</v>
      </c>
      <c r="G62" s="9" t="s">
        <v>93</v>
      </c>
      <c r="H62" s="9" t="str">
        <f aca="false">H44</f>
        <v>Vladivostok Fish Port</v>
      </c>
      <c r="I62" s="10" t="str">
        <f aca="false">I6</f>
        <v>YOULIAN QINGDAO
2605N</v>
      </c>
      <c r="J62" s="10" t="n">
        <f aca="false">J6</f>
        <v>46091</v>
      </c>
      <c r="K62" s="10" t="n">
        <f aca="false">K6</f>
        <v>46094</v>
      </c>
      <c r="L62" s="18" t="n">
        <v>5</v>
      </c>
      <c r="M62" s="9" t="s">
        <v>16</v>
      </c>
      <c r="N62" s="10" t="n">
        <v>46112</v>
      </c>
      <c r="O62" s="12" t="s">
        <v>100</v>
      </c>
      <c r="P62" s="43"/>
    </row>
    <row r="63" customFormat="false" ht="56.6" hidden="false" customHeight="false" outlineLevel="0" collapsed="false">
      <c r="A63" s="2"/>
      <c r="B63" s="14" t="s">
        <v>98</v>
      </c>
      <c r="C63" s="51" t="n">
        <v>1570</v>
      </c>
      <c r="D63" s="8" t="s">
        <v>73</v>
      </c>
      <c r="E63" s="44" t="n">
        <v>2510</v>
      </c>
      <c r="F63" s="8" t="s">
        <v>73</v>
      </c>
      <c r="G63" s="9" t="s">
        <v>93</v>
      </c>
      <c r="H63" s="9" t="s">
        <v>74</v>
      </c>
      <c r="I63" s="10" t="str">
        <f aca="false">I7</f>
        <v>YOULIAN SHANGHAI
2605N</v>
      </c>
      <c r="J63" s="10" t="n">
        <f aca="false">J7</f>
        <v>46091</v>
      </c>
      <c r="K63" s="10" t="n">
        <f aca="false">K7</f>
        <v>46094</v>
      </c>
      <c r="L63" s="18" t="n">
        <v>5</v>
      </c>
      <c r="M63" s="9" t="s">
        <v>16</v>
      </c>
      <c r="N63" s="10" t="n">
        <v>46112</v>
      </c>
      <c r="O63" s="12" t="s">
        <v>100</v>
      </c>
      <c r="P63" s="43"/>
    </row>
    <row r="64" customFormat="false" ht="28.9" hidden="false" customHeight="false" outlineLevel="0" collapsed="false">
      <c r="A64" s="2"/>
      <c r="B64" s="7" t="s">
        <v>102</v>
      </c>
      <c r="C64" s="49" t="s">
        <v>103</v>
      </c>
      <c r="D64" s="49" t="s">
        <v>73</v>
      </c>
      <c r="E64" s="52" t="s">
        <v>103</v>
      </c>
      <c r="F64" s="49" t="s">
        <v>73</v>
      </c>
      <c r="G64" s="9" t="s">
        <v>93</v>
      </c>
      <c r="H64" s="9" t="s">
        <v>61</v>
      </c>
      <c r="I64" s="10" t="s">
        <v>104</v>
      </c>
      <c r="J64" s="44" t="s">
        <v>103</v>
      </c>
      <c r="K64" s="44" t="s">
        <v>103</v>
      </c>
      <c r="L64" s="18" t="n">
        <v>7</v>
      </c>
      <c r="M64" s="9" t="s">
        <v>105</v>
      </c>
      <c r="N64" s="10" t="n">
        <v>46037</v>
      </c>
      <c r="O64" s="12" t="s">
        <v>63</v>
      </c>
      <c r="P64" s="43"/>
    </row>
    <row r="65" customFormat="false" ht="28.9" hidden="false" customHeight="false" outlineLevel="0" collapsed="false">
      <c r="A65" s="2"/>
      <c r="B65" s="7" t="s">
        <v>29</v>
      </c>
      <c r="C65" s="49" t="s">
        <v>30</v>
      </c>
      <c r="D65" s="52" t="s">
        <v>73</v>
      </c>
      <c r="E65" s="49" t="s">
        <v>30</v>
      </c>
      <c r="F65" s="52" t="s">
        <v>73</v>
      </c>
      <c r="G65" s="9" t="s">
        <v>91</v>
      </c>
      <c r="H65" s="9" t="s">
        <v>14</v>
      </c>
      <c r="I65" s="10" t="str">
        <f aca="false">I9</f>
        <v>HAI SHUN FENG 27
2601N</v>
      </c>
      <c r="J65" s="10" t="n">
        <f aca="false">J9</f>
        <v>46056</v>
      </c>
      <c r="K65" s="10" t="n">
        <f aca="false">K9</f>
        <v>46059</v>
      </c>
      <c r="L65" s="18" t="n">
        <v>8</v>
      </c>
      <c r="M65" s="9" t="s">
        <v>16</v>
      </c>
      <c r="N65" s="10" t="n">
        <v>46081</v>
      </c>
      <c r="O65" s="42" t="s">
        <v>96</v>
      </c>
      <c r="P65" s="43"/>
    </row>
    <row r="66" customFormat="false" ht="40" hidden="false" customHeight="true" outlineLevel="0" collapsed="false">
      <c r="A66" s="2"/>
      <c r="B66" s="14" t="s">
        <v>106</v>
      </c>
      <c r="C66" s="49" t="n">
        <v>1645</v>
      </c>
      <c r="D66" s="49" t="s">
        <v>73</v>
      </c>
      <c r="E66" s="52" t="n">
        <v>2430</v>
      </c>
      <c r="F66" s="49" t="s">
        <v>73</v>
      </c>
      <c r="G66" s="9" t="s">
        <v>91</v>
      </c>
      <c r="H66" s="9" t="s">
        <v>50</v>
      </c>
      <c r="I66" s="10" t="str">
        <f aca="false">I10</f>
        <v>DATU HONOR
26002N</v>
      </c>
      <c r="J66" s="10" t="n">
        <f aca="false">J10</f>
        <v>46075</v>
      </c>
      <c r="K66" s="10" t="n">
        <f aca="false">K10</f>
        <v>46078</v>
      </c>
      <c r="L66" s="18" t="n">
        <v>7</v>
      </c>
      <c r="M66" s="9" t="s">
        <v>16</v>
      </c>
      <c r="N66" s="10" t="n">
        <v>46078</v>
      </c>
      <c r="O66" s="45" t="s">
        <v>121</v>
      </c>
      <c r="P66" s="12" t="s">
        <v>109</v>
      </c>
    </row>
    <row r="67" customFormat="false" ht="40" hidden="false" customHeight="true" outlineLevel="0" collapsed="false">
      <c r="A67" s="2"/>
      <c r="B67" s="14" t="s">
        <v>106</v>
      </c>
      <c r="C67" s="49" t="n">
        <v>1645</v>
      </c>
      <c r="D67" s="49" t="s">
        <v>73</v>
      </c>
      <c r="E67" s="52" t="n">
        <v>2430</v>
      </c>
      <c r="F67" s="49" t="s">
        <v>73</v>
      </c>
      <c r="G67" s="9" t="s">
        <v>91</v>
      </c>
      <c r="H67" s="9" t="s">
        <v>74</v>
      </c>
      <c r="I67" s="10" t="str">
        <f aca="false">I11</f>
        <v>DATU HONOR
26002N</v>
      </c>
      <c r="J67" s="10" t="n">
        <f aca="false">J11</f>
        <v>46075</v>
      </c>
      <c r="K67" s="10" t="n">
        <f aca="false">K11</f>
        <v>46078</v>
      </c>
      <c r="L67" s="18" t="n">
        <v>5</v>
      </c>
      <c r="M67" s="9" t="s">
        <v>16</v>
      </c>
      <c r="N67" s="10" t="n">
        <v>46078</v>
      </c>
      <c r="O67" s="45" t="s">
        <v>121</v>
      </c>
      <c r="P67" s="12"/>
    </row>
    <row r="68" customFormat="false" ht="40" hidden="false" customHeight="true" outlineLevel="0" collapsed="false">
      <c r="A68" s="2"/>
      <c r="B68" s="14" t="s">
        <v>110</v>
      </c>
      <c r="C68" s="49" t="n">
        <v>1370</v>
      </c>
      <c r="D68" s="49" t="s">
        <v>73</v>
      </c>
      <c r="E68" s="52" t="n">
        <v>2380</v>
      </c>
      <c r="F68" s="49" t="s">
        <v>72</v>
      </c>
      <c r="G68" s="9" t="s">
        <v>91</v>
      </c>
      <c r="H68" s="9" t="s">
        <v>14</v>
      </c>
      <c r="I68" s="10" t="str">
        <f aca="false">I12</f>
        <v>GANG TONG 19
119W</v>
      </c>
      <c r="J68" s="10" t="n">
        <f aca="false">J12</f>
        <v>46086</v>
      </c>
      <c r="K68" s="10" t="n">
        <f aca="false">K12</f>
        <v>46089</v>
      </c>
      <c r="L68" s="18" t="n">
        <v>7</v>
      </c>
      <c r="M68" s="9" t="s">
        <v>16</v>
      </c>
      <c r="N68" s="10" t="n">
        <v>46089</v>
      </c>
      <c r="O68" s="42" t="s">
        <v>96</v>
      </c>
      <c r="P68" s="12" t="s">
        <v>112</v>
      </c>
    </row>
    <row r="69" customFormat="false" ht="40" hidden="false" customHeight="true" outlineLevel="0" collapsed="false">
      <c r="A69" s="2"/>
      <c r="B69" s="14" t="s">
        <v>110</v>
      </c>
      <c r="C69" s="49" t="n">
        <v>1370</v>
      </c>
      <c r="D69" s="49" t="s">
        <v>73</v>
      </c>
      <c r="E69" s="52" t="n">
        <v>2380</v>
      </c>
      <c r="F69" s="49" t="s">
        <v>72</v>
      </c>
      <c r="G69" s="9" t="s">
        <v>91</v>
      </c>
      <c r="H69" s="9" t="s">
        <v>74</v>
      </c>
      <c r="I69" s="10" t="s">
        <v>111</v>
      </c>
      <c r="J69" s="10" t="n">
        <f aca="false">J13</f>
        <v>46086</v>
      </c>
      <c r="K69" s="10" t="n">
        <f aca="false">K13</f>
        <v>46089</v>
      </c>
      <c r="L69" s="18" t="n">
        <v>8</v>
      </c>
      <c r="M69" s="9" t="s">
        <v>16</v>
      </c>
      <c r="N69" s="10" t="n">
        <v>46089</v>
      </c>
      <c r="O69" s="42" t="s">
        <v>96</v>
      </c>
      <c r="P69" s="12"/>
    </row>
    <row r="70" customFormat="false" ht="28.9" hidden="false" customHeight="false" outlineLevel="0" collapsed="false">
      <c r="A70" s="2"/>
      <c r="B70" s="7" t="s">
        <v>66</v>
      </c>
      <c r="C70" s="49" t="n">
        <v>1330</v>
      </c>
      <c r="D70" s="52" t="s">
        <v>73</v>
      </c>
      <c r="E70" s="49" t="n">
        <v>2430</v>
      </c>
      <c r="F70" s="52" t="s">
        <v>73</v>
      </c>
      <c r="G70" s="9" t="s">
        <v>91</v>
      </c>
      <c r="H70" s="12" t="str">
        <f aca="false">H14</f>
        <v>Vladivostok Fish Port</v>
      </c>
      <c r="I70" s="12" t="str">
        <f aca="false">I14</f>
        <v>Crystal StPetersburg 22603W</v>
      </c>
      <c r="J70" s="10" t="n">
        <f aca="false">J14</f>
        <v>46074</v>
      </c>
      <c r="K70" s="10" t="n">
        <f aca="false">K14</f>
        <v>46077</v>
      </c>
      <c r="L70" s="18" t="n">
        <v>7</v>
      </c>
      <c r="M70" s="9" t="s">
        <v>16</v>
      </c>
      <c r="N70" s="10" t="n">
        <v>46081</v>
      </c>
      <c r="O70" s="42" t="s">
        <v>96</v>
      </c>
      <c r="P70" s="46"/>
    </row>
    <row r="71" customFormat="false" ht="28.9" hidden="false" customHeight="false" outlineLevel="0" collapsed="false">
      <c r="A71" s="2"/>
      <c r="B71" s="7" t="s">
        <v>102</v>
      </c>
      <c r="C71" s="49" t="s">
        <v>103</v>
      </c>
      <c r="D71" s="49" t="s">
        <v>73</v>
      </c>
      <c r="E71" s="52" t="s">
        <v>103</v>
      </c>
      <c r="F71" s="49" t="s">
        <v>73</v>
      </c>
      <c r="G71" s="9" t="s">
        <v>114</v>
      </c>
      <c r="H71" s="9" t="s">
        <v>61</v>
      </c>
      <c r="I71" s="10" t="s">
        <v>104</v>
      </c>
      <c r="J71" s="44" t="s">
        <v>103</v>
      </c>
      <c r="K71" s="44" t="s">
        <v>103</v>
      </c>
      <c r="L71" s="18" t="n">
        <v>5</v>
      </c>
      <c r="M71" s="9" t="s">
        <v>16</v>
      </c>
      <c r="N71" s="10" t="n">
        <v>46042</v>
      </c>
      <c r="O71" s="12" t="s">
        <v>63</v>
      </c>
      <c r="P71" s="46"/>
    </row>
    <row r="72" customFormat="false" ht="28.9" hidden="false" customHeight="true" outlineLevel="0" collapsed="false">
      <c r="A72" s="2"/>
      <c r="B72" s="7" t="s">
        <v>64</v>
      </c>
      <c r="C72" s="8" t="n">
        <v>1525</v>
      </c>
      <c r="D72" s="8" t="s">
        <v>73</v>
      </c>
      <c r="E72" s="8" t="n">
        <v>2385</v>
      </c>
      <c r="F72" s="8" t="s">
        <v>73</v>
      </c>
      <c r="G72" s="9" t="s">
        <v>114</v>
      </c>
      <c r="H72" s="9" t="s">
        <v>74</v>
      </c>
      <c r="I72" s="10" t="str">
        <f aca="false">I16</f>
        <v>BELLE ARIES
2607N</v>
      </c>
      <c r="J72" s="10" t="n">
        <f aca="false">J16</f>
        <v>46079</v>
      </c>
      <c r="K72" s="10" t="n">
        <f aca="false">K16</f>
        <v>46082</v>
      </c>
      <c r="L72" s="18" t="n">
        <v>5</v>
      </c>
      <c r="M72" s="9" t="s">
        <v>16</v>
      </c>
      <c r="N72" s="10" t="n">
        <v>46082</v>
      </c>
      <c r="O72" s="42" t="s">
        <v>96</v>
      </c>
      <c r="P72" s="12" t="s">
        <v>115</v>
      </c>
    </row>
    <row r="73" customFormat="false" ht="28.9" hidden="false" customHeight="false" outlineLevel="0" collapsed="false">
      <c r="A73" s="2"/>
      <c r="B73" s="7" t="s">
        <v>54</v>
      </c>
      <c r="C73" s="49" t="n">
        <v>1655</v>
      </c>
      <c r="D73" s="52" t="s">
        <v>73</v>
      </c>
      <c r="E73" s="49" t="n">
        <v>2460</v>
      </c>
      <c r="F73" s="52" t="s">
        <v>73</v>
      </c>
      <c r="G73" s="9" t="s">
        <v>114</v>
      </c>
      <c r="H73" s="12" t="s">
        <v>116</v>
      </c>
      <c r="I73" s="10" t="s">
        <v>117</v>
      </c>
      <c r="J73" s="15" t="s">
        <v>118</v>
      </c>
      <c r="K73" s="15" t="s">
        <v>119</v>
      </c>
      <c r="L73" s="18" t="n">
        <v>7</v>
      </c>
      <c r="M73" s="9" t="s">
        <v>16</v>
      </c>
      <c r="N73" s="10" t="n">
        <v>46096</v>
      </c>
      <c r="O73" s="42" t="s">
        <v>96</v>
      </c>
      <c r="P73" s="12"/>
      <c r="Q73" s="53" t="s">
        <v>75</v>
      </c>
    </row>
    <row r="74" customFormat="false" ht="12.75" hidden="false" customHeight="false" outlineLevel="0" collapsed="false">
      <c r="C74" s="49"/>
      <c r="D74" s="49"/>
      <c r="E74" s="52"/>
      <c r="F74" s="49"/>
    </row>
    <row r="75" customFormat="false" ht="15.05" hidden="false" customHeight="true" outlineLevel="0" collapsed="false">
      <c r="A75" s="2" t="s">
        <v>129</v>
      </c>
      <c r="B75" s="3" t="s">
        <v>1</v>
      </c>
      <c r="C75" s="48" t="s">
        <v>70</v>
      </c>
      <c r="D75" s="48"/>
      <c r="E75" s="48" t="s">
        <v>71</v>
      </c>
      <c r="F75" s="48"/>
      <c r="G75" s="4" t="s">
        <v>89</v>
      </c>
      <c r="H75" s="4" t="s">
        <v>4</v>
      </c>
      <c r="I75" s="4" t="s">
        <v>5</v>
      </c>
      <c r="J75" s="4" t="s">
        <v>6</v>
      </c>
      <c r="K75" s="4" t="s">
        <v>7</v>
      </c>
      <c r="L75" s="4" t="s">
        <v>8</v>
      </c>
      <c r="M75" s="4" t="s">
        <v>9</v>
      </c>
      <c r="N75" s="5" t="s">
        <v>10</v>
      </c>
      <c r="O75" s="5" t="s">
        <v>11</v>
      </c>
      <c r="P75" s="5" t="s">
        <v>90</v>
      </c>
    </row>
    <row r="76" customFormat="false" ht="35" hidden="false" customHeight="true" outlineLevel="0" collapsed="false">
      <c r="A76" s="2"/>
      <c r="B76" s="7" t="s">
        <v>13</v>
      </c>
      <c r="C76" s="49" t="n">
        <v>1670</v>
      </c>
      <c r="D76" s="49" t="s">
        <v>72</v>
      </c>
      <c r="E76" s="52" t="n">
        <v>2480</v>
      </c>
      <c r="F76" s="49" t="s">
        <v>72</v>
      </c>
      <c r="G76" s="9" t="s">
        <v>91</v>
      </c>
      <c r="H76" s="9" t="s">
        <v>14</v>
      </c>
      <c r="I76" s="10" t="str">
        <f aca="false">I2</f>
        <v>HAI SHUN FENG 27
2603N</v>
      </c>
      <c r="J76" s="10" t="n">
        <f aca="false">J2</f>
        <v>46088</v>
      </c>
      <c r="K76" s="10" t="n">
        <f aca="false">K2</f>
        <v>46091</v>
      </c>
      <c r="L76" s="18" t="n">
        <v>8</v>
      </c>
      <c r="M76" s="9" t="s">
        <v>16</v>
      </c>
      <c r="N76" s="10" t="n">
        <f aca="false">N2</f>
        <v>46091</v>
      </c>
      <c r="O76" s="12" t="s">
        <v>41</v>
      </c>
      <c r="P76" s="12" t="s">
        <v>92</v>
      </c>
    </row>
    <row r="77" customFormat="false" ht="35" hidden="false" customHeight="true" outlineLevel="0" collapsed="false">
      <c r="A77" s="2"/>
      <c r="B77" s="7" t="s">
        <v>13</v>
      </c>
      <c r="C77" s="49" t="n">
        <v>1645</v>
      </c>
      <c r="D77" s="49" t="s">
        <v>72</v>
      </c>
      <c r="E77" s="52" t="n">
        <v>2405</v>
      </c>
      <c r="F77" s="49" t="s">
        <v>72</v>
      </c>
      <c r="G77" s="9" t="s">
        <v>91</v>
      </c>
      <c r="H77" s="9" t="s">
        <v>19</v>
      </c>
      <c r="I77" s="10" t="str">
        <f aca="false">I2</f>
        <v>HAI SHUN FENG 27
2603N</v>
      </c>
      <c r="J77" s="10" t="n">
        <f aca="false">J2</f>
        <v>46088</v>
      </c>
      <c r="K77" s="10" t="n">
        <f aca="false">K2</f>
        <v>46091</v>
      </c>
      <c r="L77" s="18" t="n">
        <v>10</v>
      </c>
      <c r="M77" s="9" t="s">
        <v>16</v>
      </c>
      <c r="N77" s="10" t="n">
        <f aca="false">N2</f>
        <v>46091</v>
      </c>
      <c r="O77" s="12" t="s">
        <v>41</v>
      </c>
      <c r="P77" s="12"/>
    </row>
    <row r="78" customFormat="false" ht="25" hidden="false" customHeight="true" outlineLevel="0" collapsed="false">
      <c r="A78" s="2"/>
      <c r="B78" s="7" t="s">
        <v>49</v>
      </c>
      <c r="C78" s="19" t="n">
        <v>1610</v>
      </c>
      <c r="D78" s="8" t="s">
        <v>72</v>
      </c>
      <c r="E78" s="8" t="n">
        <v>1960</v>
      </c>
      <c r="F78" s="8" t="s">
        <v>72</v>
      </c>
      <c r="G78" s="9" t="s">
        <v>93</v>
      </c>
      <c r="H78" s="9" t="str">
        <f aca="false">H60</f>
        <v>Vladivostok Fish Port</v>
      </c>
      <c r="I78" s="10" t="s">
        <v>94</v>
      </c>
      <c r="J78" s="10" t="n">
        <f aca="false">K78-3</f>
        <v>46078</v>
      </c>
      <c r="K78" s="10" t="n">
        <v>46081</v>
      </c>
      <c r="L78" s="16" t="s">
        <v>95</v>
      </c>
      <c r="M78" s="9" t="s">
        <v>40</v>
      </c>
      <c r="N78" s="10" t="n">
        <v>46081</v>
      </c>
      <c r="O78" s="42" t="s">
        <v>96</v>
      </c>
      <c r="P78" s="43"/>
    </row>
    <row r="79" customFormat="false" ht="42.75" hidden="false" customHeight="false" outlineLevel="0" collapsed="false">
      <c r="A79" s="2"/>
      <c r="B79" s="7" t="s">
        <v>35</v>
      </c>
      <c r="C79" s="49" t="n">
        <v>1935</v>
      </c>
      <c r="D79" s="49" t="s">
        <v>73</v>
      </c>
      <c r="E79" s="52" t="n">
        <v>2760</v>
      </c>
      <c r="F79" s="49" t="s">
        <v>73</v>
      </c>
      <c r="G79" s="9" t="s">
        <v>93</v>
      </c>
      <c r="H79" s="9" t="s">
        <v>22</v>
      </c>
      <c r="I79" s="10" t="s">
        <v>97</v>
      </c>
      <c r="J79" s="10" t="n">
        <f aca="false">K79-3</f>
        <v>46077</v>
      </c>
      <c r="K79" s="10" t="n">
        <v>46080</v>
      </c>
      <c r="L79" s="18" t="s">
        <v>95</v>
      </c>
      <c r="M79" s="9" t="s">
        <v>40</v>
      </c>
      <c r="N79" s="10" t="n">
        <v>46081</v>
      </c>
      <c r="O79" s="12" t="s">
        <v>41</v>
      </c>
      <c r="P79" s="43"/>
    </row>
    <row r="80" customFormat="false" ht="56.6" hidden="false" customHeight="false" outlineLevel="0" collapsed="false">
      <c r="A80" s="2"/>
      <c r="B80" s="14" t="s">
        <v>98</v>
      </c>
      <c r="C80" s="51" t="n">
        <v>1720</v>
      </c>
      <c r="D80" s="8" t="s">
        <v>73</v>
      </c>
      <c r="E80" s="44" t="n">
        <v>2510</v>
      </c>
      <c r="F80" s="8" t="s">
        <v>73</v>
      </c>
      <c r="G80" s="9" t="s">
        <v>93</v>
      </c>
      <c r="H80" s="9" t="str">
        <f aca="false">H62</f>
        <v>Vladivostok Fish Port</v>
      </c>
      <c r="I80" s="10" t="str">
        <f aca="false">I6</f>
        <v>YOULIAN QINGDAO
2605N</v>
      </c>
      <c r="J80" s="10" t="n">
        <f aca="false">J6</f>
        <v>46091</v>
      </c>
      <c r="K80" s="10" t="n">
        <f aca="false">K6</f>
        <v>46094</v>
      </c>
      <c r="L80" s="18" t="n">
        <v>5</v>
      </c>
      <c r="M80" s="9" t="s">
        <v>16</v>
      </c>
      <c r="N80" s="10" t="n">
        <v>46112</v>
      </c>
      <c r="O80" s="12" t="s">
        <v>100</v>
      </c>
      <c r="P80" s="43"/>
    </row>
    <row r="81" customFormat="false" ht="56.6" hidden="false" customHeight="false" outlineLevel="0" collapsed="false">
      <c r="A81" s="2"/>
      <c r="B81" s="14" t="s">
        <v>98</v>
      </c>
      <c r="C81" s="51" t="n">
        <v>1720</v>
      </c>
      <c r="D81" s="8" t="s">
        <v>73</v>
      </c>
      <c r="E81" s="44" t="n">
        <v>2510</v>
      </c>
      <c r="F81" s="8" t="s">
        <v>73</v>
      </c>
      <c r="G81" s="9" t="s">
        <v>93</v>
      </c>
      <c r="H81" s="9" t="s">
        <v>74</v>
      </c>
      <c r="I81" s="10" t="str">
        <f aca="false">I7</f>
        <v>YOULIAN SHANGHAI
2605N</v>
      </c>
      <c r="J81" s="10" t="n">
        <f aca="false">J7</f>
        <v>46091</v>
      </c>
      <c r="K81" s="10" t="n">
        <f aca="false">K7</f>
        <v>46094</v>
      </c>
      <c r="L81" s="18" t="n">
        <v>5</v>
      </c>
      <c r="M81" s="9" t="s">
        <v>16</v>
      </c>
      <c r="N81" s="10" t="n">
        <v>46112</v>
      </c>
      <c r="O81" s="12" t="s">
        <v>100</v>
      </c>
      <c r="P81" s="43"/>
    </row>
    <row r="82" customFormat="false" ht="28.9" hidden="false" customHeight="false" outlineLevel="0" collapsed="false">
      <c r="A82" s="2"/>
      <c r="B82" s="7" t="s">
        <v>102</v>
      </c>
      <c r="C82" s="49" t="s">
        <v>103</v>
      </c>
      <c r="D82" s="49" t="s">
        <v>73</v>
      </c>
      <c r="E82" s="52" t="s">
        <v>103</v>
      </c>
      <c r="F82" s="49" t="s">
        <v>73</v>
      </c>
      <c r="G82" s="9" t="s">
        <v>93</v>
      </c>
      <c r="H82" s="9" t="s">
        <v>61</v>
      </c>
      <c r="I82" s="10" t="s">
        <v>104</v>
      </c>
      <c r="J82" s="44" t="s">
        <v>103</v>
      </c>
      <c r="K82" s="44" t="s">
        <v>103</v>
      </c>
      <c r="L82" s="18" t="n">
        <v>7</v>
      </c>
      <c r="M82" s="9" t="s">
        <v>105</v>
      </c>
      <c r="N82" s="10" t="n">
        <v>46037</v>
      </c>
      <c r="O82" s="12" t="s">
        <v>63</v>
      </c>
      <c r="P82" s="43"/>
    </row>
    <row r="83" customFormat="false" ht="28.9" hidden="false" customHeight="false" outlineLevel="0" collapsed="false">
      <c r="A83" s="2"/>
      <c r="B83" s="7" t="s">
        <v>29</v>
      </c>
      <c r="C83" s="49" t="s">
        <v>30</v>
      </c>
      <c r="D83" s="52" t="s">
        <v>73</v>
      </c>
      <c r="E83" s="49" t="s">
        <v>30</v>
      </c>
      <c r="F83" s="52" t="s">
        <v>73</v>
      </c>
      <c r="G83" s="9" t="s">
        <v>91</v>
      </c>
      <c r="H83" s="9" t="s">
        <v>14</v>
      </c>
      <c r="I83" s="10" t="str">
        <f aca="false">I9</f>
        <v>HAI SHUN FENG 27
2601N</v>
      </c>
      <c r="J83" s="10" t="n">
        <f aca="false">J9</f>
        <v>46056</v>
      </c>
      <c r="K83" s="10" t="n">
        <f aca="false">K9</f>
        <v>46059</v>
      </c>
      <c r="L83" s="18" t="n">
        <v>8</v>
      </c>
      <c r="M83" s="9" t="s">
        <v>16</v>
      </c>
      <c r="N83" s="10" t="n">
        <v>46081</v>
      </c>
      <c r="O83" s="42" t="s">
        <v>96</v>
      </c>
      <c r="P83" s="43"/>
    </row>
    <row r="84" customFormat="false" ht="40" hidden="false" customHeight="true" outlineLevel="0" collapsed="false">
      <c r="A84" s="2"/>
      <c r="B84" s="14" t="s">
        <v>106</v>
      </c>
      <c r="C84" s="49" t="n">
        <v>1795</v>
      </c>
      <c r="D84" s="49" t="s">
        <v>73</v>
      </c>
      <c r="E84" s="52" t="n">
        <v>2430</v>
      </c>
      <c r="F84" s="49" t="s">
        <v>73</v>
      </c>
      <c r="G84" s="9" t="s">
        <v>91</v>
      </c>
      <c r="H84" s="9" t="s">
        <v>50</v>
      </c>
      <c r="I84" s="10" t="str">
        <f aca="false">I10</f>
        <v>DATU HONOR
26002N</v>
      </c>
      <c r="J84" s="10" t="n">
        <f aca="false">J10</f>
        <v>46075</v>
      </c>
      <c r="K84" s="10" t="n">
        <f aca="false">K10</f>
        <v>46078</v>
      </c>
      <c r="L84" s="18" t="n">
        <v>7</v>
      </c>
      <c r="M84" s="9" t="s">
        <v>16</v>
      </c>
      <c r="N84" s="10" t="n">
        <v>46078</v>
      </c>
      <c r="O84" s="45" t="s">
        <v>121</v>
      </c>
      <c r="P84" s="12" t="s">
        <v>109</v>
      </c>
    </row>
    <row r="85" customFormat="false" ht="40" hidden="false" customHeight="true" outlineLevel="0" collapsed="false">
      <c r="A85" s="2"/>
      <c r="B85" s="14" t="s">
        <v>106</v>
      </c>
      <c r="C85" s="49" t="n">
        <v>1795</v>
      </c>
      <c r="D85" s="49" t="s">
        <v>73</v>
      </c>
      <c r="E85" s="52" t="n">
        <v>2430</v>
      </c>
      <c r="F85" s="49" t="s">
        <v>73</v>
      </c>
      <c r="G85" s="9" t="s">
        <v>91</v>
      </c>
      <c r="H85" s="9" t="s">
        <v>74</v>
      </c>
      <c r="I85" s="10" t="str">
        <f aca="false">I11</f>
        <v>DATU HONOR
26002N</v>
      </c>
      <c r="J85" s="10" t="n">
        <f aca="false">J11</f>
        <v>46075</v>
      </c>
      <c r="K85" s="10" t="n">
        <f aca="false">K11</f>
        <v>46078</v>
      </c>
      <c r="L85" s="18" t="n">
        <v>5</v>
      </c>
      <c r="M85" s="9" t="s">
        <v>16</v>
      </c>
      <c r="N85" s="10" t="n">
        <v>46078</v>
      </c>
      <c r="O85" s="45" t="s">
        <v>121</v>
      </c>
      <c r="P85" s="12"/>
    </row>
    <row r="86" customFormat="false" ht="40" hidden="false" customHeight="true" outlineLevel="0" collapsed="false">
      <c r="A86" s="2"/>
      <c r="B86" s="14" t="s">
        <v>110</v>
      </c>
      <c r="C86" s="49" t="n">
        <v>1540</v>
      </c>
      <c r="D86" s="49" t="s">
        <v>72</v>
      </c>
      <c r="E86" s="52" t="n">
        <v>2430</v>
      </c>
      <c r="F86" s="49" t="s">
        <v>72</v>
      </c>
      <c r="G86" s="9" t="s">
        <v>91</v>
      </c>
      <c r="H86" s="9" t="s">
        <v>14</v>
      </c>
      <c r="I86" s="10" t="str">
        <f aca="false">I12</f>
        <v>GANG TONG 19
119W</v>
      </c>
      <c r="J86" s="10" t="n">
        <f aca="false">J12</f>
        <v>46086</v>
      </c>
      <c r="K86" s="10" t="n">
        <f aca="false">K12</f>
        <v>46089</v>
      </c>
      <c r="L86" s="18" t="n">
        <v>7</v>
      </c>
      <c r="M86" s="9" t="s">
        <v>16</v>
      </c>
      <c r="N86" s="10" t="n">
        <v>46089</v>
      </c>
      <c r="O86" s="42" t="s">
        <v>96</v>
      </c>
      <c r="P86" s="12" t="s">
        <v>112</v>
      </c>
    </row>
    <row r="87" customFormat="false" ht="40" hidden="false" customHeight="true" outlineLevel="0" collapsed="false">
      <c r="A87" s="2"/>
      <c r="B87" s="14" t="s">
        <v>110</v>
      </c>
      <c r="C87" s="49" t="n">
        <v>1540</v>
      </c>
      <c r="D87" s="49" t="s">
        <v>72</v>
      </c>
      <c r="E87" s="52" t="n">
        <v>2430</v>
      </c>
      <c r="F87" s="49" t="s">
        <v>72</v>
      </c>
      <c r="G87" s="9" t="s">
        <v>91</v>
      </c>
      <c r="H87" s="9" t="s">
        <v>74</v>
      </c>
      <c r="I87" s="10" t="s">
        <v>111</v>
      </c>
      <c r="J87" s="10" t="n">
        <f aca="false">J13</f>
        <v>46086</v>
      </c>
      <c r="K87" s="10" t="n">
        <f aca="false">K13</f>
        <v>46089</v>
      </c>
      <c r="L87" s="18" t="n">
        <v>8</v>
      </c>
      <c r="M87" s="9" t="s">
        <v>16</v>
      </c>
      <c r="N87" s="10" t="n">
        <v>46089</v>
      </c>
      <c r="O87" s="42" t="s">
        <v>96</v>
      </c>
      <c r="P87" s="12"/>
    </row>
    <row r="88" customFormat="false" ht="28.9" hidden="false" customHeight="false" outlineLevel="0" collapsed="false">
      <c r="A88" s="2"/>
      <c r="B88" s="7" t="s">
        <v>66</v>
      </c>
      <c r="C88" s="49" t="n">
        <v>1430</v>
      </c>
      <c r="D88" s="52" t="s">
        <v>73</v>
      </c>
      <c r="E88" s="49" t="n">
        <v>2430</v>
      </c>
      <c r="F88" s="52" t="s">
        <v>73</v>
      </c>
      <c r="G88" s="9" t="s">
        <v>91</v>
      </c>
      <c r="H88" s="12" t="str">
        <f aca="false">H14</f>
        <v>Vladivostok Fish Port</v>
      </c>
      <c r="I88" s="12" t="str">
        <f aca="false">I14</f>
        <v>Crystal StPetersburg 22603W</v>
      </c>
      <c r="J88" s="10" t="n">
        <f aca="false">J14</f>
        <v>46074</v>
      </c>
      <c r="K88" s="10" t="n">
        <f aca="false">K14</f>
        <v>46077</v>
      </c>
      <c r="L88" s="18" t="n">
        <v>7</v>
      </c>
      <c r="M88" s="9" t="s">
        <v>16</v>
      </c>
      <c r="N88" s="10" t="n">
        <v>46081</v>
      </c>
      <c r="O88" s="42" t="s">
        <v>96</v>
      </c>
      <c r="P88" s="46"/>
    </row>
    <row r="89" customFormat="false" ht="28.9" hidden="false" customHeight="false" outlineLevel="0" collapsed="false">
      <c r="A89" s="2"/>
      <c r="B89" s="7" t="s">
        <v>102</v>
      </c>
      <c r="C89" s="49" t="s">
        <v>103</v>
      </c>
      <c r="D89" s="49" t="s">
        <v>73</v>
      </c>
      <c r="E89" s="52" t="s">
        <v>103</v>
      </c>
      <c r="F89" s="49" t="s">
        <v>73</v>
      </c>
      <c r="G89" s="9" t="s">
        <v>114</v>
      </c>
      <c r="H89" s="9" t="s">
        <v>61</v>
      </c>
      <c r="I89" s="10" t="s">
        <v>104</v>
      </c>
      <c r="J89" s="44" t="s">
        <v>103</v>
      </c>
      <c r="K89" s="44" t="s">
        <v>103</v>
      </c>
      <c r="L89" s="18" t="n">
        <v>5</v>
      </c>
      <c r="M89" s="9" t="s">
        <v>16</v>
      </c>
      <c r="N89" s="10" t="n">
        <v>46042</v>
      </c>
      <c r="O89" s="12" t="s">
        <v>63</v>
      </c>
      <c r="P89" s="46"/>
    </row>
    <row r="90" customFormat="false" ht="28.9" hidden="false" customHeight="true" outlineLevel="0" collapsed="false">
      <c r="A90" s="2"/>
      <c r="B90" s="7" t="s">
        <v>64</v>
      </c>
      <c r="C90" s="8" t="n">
        <v>1660</v>
      </c>
      <c r="D90" s="8" t="s">
        <v>73</v>
      </c>
      <c r="E90" s="8" t="n">
        <v>2385</v>
      </c>
      <c r="F90" s="8" t="s">
        <v>73</v>
      </c>
      <c r="G90" s="9" t="s">
        <v>114</v>
      </c>
      <c r="H90" s="9" t="s">
        <v>74</v>
      </c>
      <c r="I90" s="10" t="str">
        <f aca="false">I16</f>
        <v>BELLE ARIES
2607N</v>
      </c>
      <c r="J90" s="10" t="n">
        <f aca="false">J16</f>
        <v>46079</v>
      </c>
      <c r="K90" s="10" t="n">
        <f aca="false">K16</f>
        <v>46082</v>
      </c>
      <c r="L90" s="18" t="n">
        <v>5</v>
      </c>
      <c r="M90" s="9" t="s">
        <v>16</v>
      </c>
      <c r="N90" s="10" t="n">
        <v>46082</v>
      </c>
      <c r="O90" s="42" t="s">
        <v>96</v>
      </c>
      <c r="P90" s="12" t="s">
        <v>115</v>
      </c>
    </row>
    <row r="91" customFormat="false" ht="28.9" hidden="false" customHeight="false" outlineLevel="0" collapsed="false">
      <c r="A91" s="2"/>
      <c r="B91" s="7" t="s">
        <v>54</v>
      </c>
      <c r="C91" s="49" t="n">
        <v>1785</v>
      </c>
      <c r="D91" s="52" t="s">
        <v>73</v>
      </c>
      <c r="E91" s="49" t="n">
        <v>2460</v>
      </c>
      <c r="F91" s="52" t="s">
        <v>73</v>
      </c>
      <c r="G91" s="9" t="s">
        <v>114</v>
      </c>
      <c r="H91" s="12" t="s">
        <v>116</v>
      </c>
      <c r="I91" s="10" t="s">
        <v>117</v>
      </c>
      <c r="J91" s="15" t="s">
        <v>118</v>
      </c>
      <c r="K91" s="15" t="s">
        <v>119</v>
      </c>
      <c r="L91" s="18" t="n">
        <v>7</v>
      </c>
      <c r="M91" s="9" t="s">
        <v>16</v>
      </c>
      <c r="N91" s="10" t="n">
        <v>46096</v>
      </c>
      <c r="O91" s="42" t="s">
        <v>96</v>
      </c>
      <c r="P91" s="12"/>
      <c r="Q91" s="53" t="s">
        <v>75</v>
      </c>
    </row>
    <row r="92" customFormat="false" ht="12.75" hidden="false" customHeight="false" outlineLevel="0" collapsed="false">
      <c r="C92" s="49"/>
      <c r="D92" s="49"/>
      <c r="E92" s="52"/>
      <c r="F92" s="49"/>
    </row>
    <row r="93" customFormat="false" ht="15.05" hidden="false" customHeight="true" outlineLevel="0" collapsed="false">
      <c r="A93" s="2" t="s">
        <v>130</v>
      </c>
      <c r="B93" s="3" t="s">
        <v>1</v>
      </c>
      <c r="C93" s="48" t="s">
        <v>70</v>
      </c>
      <c r="D93" s="48"/>
      <c r="E93" s="48" t="s">
        <v>71</v>
      </c>
      <c r="F93" s="48"/>
      <c r="G93" s="4" t="s">
        <v>89</v>
      </c>
      <c r="H93" s="4" t="s">
        <v>4</v>
      </c>
      <c r="I93" s="4" t="s">
        <v>5</v>
      </c>
      <c r="J93" s="4" t="s">
        <v>6</v>
      </c>
      <c r="K93" s="4" t="s">
        <v>7</v>
      </c>
      <c r="L93" s="4" t="s">
        <v>8</v>
      </c>
      <c r="M93" s="4" t="s">
        <v>9</v>
      </c>
      <c r="N93" s="5" t="s">
        <v>10</v>
      </c>
      <c r="O93" s="5" t="s">
        <v>11</v>
      </c>
      <c r="P93" s="5" t="s">
        <v>90</v>
      </c>
    </row>
    <row r="94" customFormat="false" ht="35" hidden="false" customHeight="true" outlineLevel="0" collapsed="false">
      <c r="A94" s="2"/>
      <c r="B94" s="7" t="s">
        <v>13</v>
      </c>
      <c r="C94" s="49" t="n">
        <v>1250</v>
      </c>
      <c r="D94" s="49" t="s">
        <v>72</v>
      </c>
      <c r="E94" s="52" t="n">
        <v>2000</v>
      </c>
      <c r="F94" s="49" t="s">
        <v>72</v>
      </c>
      <c r="G94" s="9" t="s">
        <v>91</v>
      </c>
      <c r="H94" s="9" t="s">
        <v>14</v>
      </c>
      <c r="I94" s="10" t="str">
        <f aca="false">I2</f>
        <v>HAI SHUN FENG 27
2603N</v>
      </c>
      <c r="J94" s="10" t="n">
        <f aca="false">J2</f>
        <v>46088</v>
      </c>
      <c r="K94" s="10" t="n">
        <f aca="false">K2</f>
        <v>46091</v>
      </c>
      <c r="L94" s="18" t="n">
        <v>8</v>
      </c>
      <c r="M94" s="9" t="s">
        <v>16</v>
      </c>
      <c r="N94" s="10" t="n">
        <f aca="false">N2</f>
        <v>46091</v>
      </c>
      <c r="O94" s="12" t="s">
        <v>41</v>
      </c>
      <c r="P94" s="12" t="s">
        <v>92</v>
      </c>
    </row>
    <row r="95" customFormat="false" ht="35" hidden="false" customHeight="true" outlineLevel="0" collapsed="false">
      <c r="A95" s="2"/>
      <c r="B95" s="7" t="s">
        <v>13</v>
      </c>
      <c r="C95" s="49" t="n">
        <v>1225</v>
      </c>
      <c r="D95" s="49" t="s">
        <v>72</v>
      </c>
      <c r="E95" s="52" t="n">
        <v>1925</v>
      </c>
      <c r="F95" s="49" t="s">
        <v>72</v>
      </c>
      <c r="G95" s="9" t="s">
        <v>91</v>
      </c>
      <c r="H95" s="9" t="s">
        <v>19</v>
      </c>
      <c r="I95" s="10" t="str">
        <f aca="false">I3</f>
        <v>HAI SHUN FENG 27
2603N</v>
      </c>
      <c r="J95" s="10" t="n">
        <f aca="false">J3</f>
        <v>46088</v>
      </c>
      <c r="K95" s="10" t="n">
        <f aca="false">K3</f>
        <v>46091</v>
      </c>
      <c r="L95" s="18" t="n">
        <v>10</v>
      </c>
      <c r="M95" s="9" t="s">
        <v>16</v>
      </c>
      <c r="N95" s="10" t="n">
        <f aca="false">N2</f>
        <v>46091</v>
      </c>
      <c r="O95" s="12" t="s">
        <v>41</v>
      </c>
      <c r="P95" s="12"/>
    </row>
    <row r="96" customFormat="false" ht="25" hidden="false" customHeight="true" outlineLevel="0" collapsed="false">
      <c r="A96" s="2"/>
      <c r="B96" s="7" t="s">
        <v>49</v>
      </c>
      <c r="C96" s="19" t="n">
        <v>1710</v>
      </c>
      <c r="D96" s="8" t="s">
        <v>72</v>
      </c>
      <c r="E96" s="8" t="n">
        <v>3860</v>
      </c>
      <c r="F96" s="8" t="s">
        <v>72</v>
      </c>
      <c r="G96" s="9" t="s">
        <v>93</v>
      </c>
      <c r="H96" s="9" t="str">
        <f aca="false">H78</f>
        <v>Vladivostok Fish Port</v>
      </c>
      <c r="I96" s="10" t="s">
        <v>94</v>
      </c>
      <c r="J96" s="10" t="n">
        <f aca="false">K96-3</f>
        <v>46078</v>
      </c>
      <c r="K96" s="10" t="n">
        <v>46081</v>
      </c>
      <c r="L96" s="16" t="s">
        <v>95</v>
      </c>
      <c r="M96" s="9" t="s">
        <v>40</v>
      </c>
      <c r="N96" s="10" t="n">
        <v>46081</v>
      </c>
      <c r="O96" s="42" t="s">
        <v>96</v>
      </c>
      <c r="P96" s="43"/>
    </row>
    <row r="97" customFormat="false" ht="42.75" hidden="false" customHeight="false" outlineLevel="0" collapsed="false">
      <c r="A97" s="2"/>
      <c r="B97" s="7" t="s">
        <v>35</v>
      </c>
      <c r="C97" s="49" t="n">
        <v>1535</v>
      </c>
      <c r="D97" s="49" t="s">
        <v>73</v>
      </c>
      <c r="E97" s="52" t="n">
        <v>2130</v>
      </c>
      <c r="F97" s="49" t="s">
        <v>72</v>
      </c>
      <c r="G97" s="9" t="s">
        <v>93</v>
      </c>
      <c r="H97" s="9" t="s">
        <v>22</v>
      </c>
      <c r="I97" s="10" t="s">
        <v>97</v>
      </c>
      <c r="J97" s="10" t="n">
        <f aca="false">K97-3</f>
        <v>46077</v>
      </c>
      <c r="K97" s="10" t="n">
        <v>46080</v>
      </c>
      <c r="L97" s="18" t="s">
        <v>95</v>
      </c>
      <c r="M97" s="9" t="s">
        <v>40</v>
      </c>
      <c r="N97" s="10" t="n">
        <v>46081</v>
      </c>
      <c r="O97" s="12" t="s">
        <v>41</v>
      </c>
      <c r="P97" s="43"/>
    </row>
    <row r="98" customFormat="false" ht="56.6" hidden="false" customHeight="false" outlineLevel="0" collapsed="false">
      <c r="A98" s="2"/>
      <c r="B98" s="14" t="s">
        <v>98</v>
      </c>
      <c r="C98" s="51" t="n">
        <v>1320</v>
      </c>
      <c r="D98" s="8" t="s">
        <v>73</v>
      </c>
      <c r="E98" s="44" t="n">
        <v>2030</v>
      </c>
      <c r="F98" s="8" t="s">
        <v>73</v>
      </c>
      <c r="G98" s="9" t="s">
        <v>93</v>
      </c>
      <c r="H98" s="9" t="str">
        <f aca="false">H80</f>
        <v>Vladivostok Fish Port</v>
      </c>
      <c r="I98" s="10" t="str">
        <f aca="false">I6</f>
        <v>YOULIAN QINGDAO
2605N</v>
      </c>
      <c r="J98" s="10" t="n">
        <f aca="false">J6</f>
        <v>46091</v>
      </c>
      <c r="K98" s="10" t="n">
        <f aca="false">K6</f>
        <v>46094</v>
      </c>
      <c r="L98" s="18" t="n">
        <v>5</v>
      </c>
      <c r="M98" s="9" t="s">
        <v>16</v>
      </c>
      <c r="N98" s="10" t="n">
        <v>46112</v>
      </c>
      <c r="O98" s="12" t="s">
        <v>100</v>
      </c>
      <c r="P98" s="43"/>
    </row>
    <row r="99" customFormat="false" ht="56.6" hidden="false" customHeight="false" outlineLevel="0" collapsed="false">
      <c r="A99" s="2"/>
      <c r="B99" s="14" t="s">
        <v>98</v>
      </c>
      <c r="C99" s="51" t="n">
        <v>1320</v>
      </c>
      <c r="D99" s="8" t="s">
        <v>73</v>
      </c>
      <c r="E99" s="44" t="n">
        <v>2030</v>
      </c>
      <c r="F99" s="8" t="s">
        <v>73</v>
      </c>
      <c r="G99" s="9" t="s">
        <v>93</v>
      </c>
      <c r="H99" s="9" t="s">
        <v>74</v>
      </c>
      <c r="I99" s="10" t="str">
        <f aca="false">I7</f>
        <v>YOULIAN SHANGHAI
2605N</v>
      </c>
      <c r="J99" s="10" t="n">
        <f aca="false">J7</f>
        <v>46091</v>
      </c>
      <c r="K99" s="10" t="n">
        <f aca="false">K7</f>
        <v>46094</v>
      </c>
      <c r="L99" s="18" t="n">
        <v>5</v>
      </c>
      <c r="M99" s="9" t="s">
        <v>16</v>
      </c>
      <c r="N99" s="10" t="n">
        <v>46112</v>
      </c>
      <c r="O99" s="12" t="s">
        <v>100</v>
      </c>
      <c r="P99" s="43"/>
    </row>
    <row r="100" customFormat="false" ht="28.9" hidden="false" customHeight="false" outlineLevel="0" collapsed="false">
      <c r="A100" s="2"/>
      <c r="B100" s="7" t="s">
        <v>102</v>
      </c>
      <c r="C100" s="49" t="s">
        <v>103</v>
      </c>
      <c r="D100" s="49" t="s">
        <v>73</v>
      </c>
      <c r="E100" s="52" t="s">
        <v>103</v>
      </c>
      <c r="F100" s="49" t="s">
        <v>73</v>
      </c>
      <c r="G100" s="9" t="s">
        <v>93</v>
      </c>
      <c r="H100" s="9" t="s">
        <v>61</v>
      </c>
      <c r="I100" s="10" t="s">
        <v>104</v>
      </c>
      <c r="J100" s="44" t="s">
        <v>103</v>
      </c>
      <c r="K100" s="44" t="s">
        <v>103</v>
      </c>
      <c r="L100" s="18" t="n">
        <v>7</v>
      </c>
      <c r="M100" s="9" t="s">
        <v>105</v>
      </c>
      <c r="N100" s="10" t="n">
        <v>46037</v>
      </c>
      <c r="O100" s="12" t="s">
        <v>63</v>
      </c>
      <c r="P100" s="43"/>
    </row>
    <row r="101" customFormat="false" ht="28.9" hidden="false" customHeight="false" outlineLevel="0" collapsed="false">
      <c r="A101" s="2"/>
      <c r="B101" s="7" t="s">
        <v>29</v>
      </c>
      <c r="C101" s="49" t="s">
        <v>30</v>
      </c>
      <c r="D101" s="52" t="s">
        <v>73</v>
      </c>
      <c r="E101" s="49" t="s">
        <v>30</v>
      </c>
      <c r="F101" s="52" t="s">
        <v>73</v>
      </c>
      <c r="G101" s="9" t="s">
        <v>91</v>
      </c>
      <c r="H101" s="9" t="s">
        <v>14</v>
      </c>
      <c r="I101" s="10" t="str">
        <f aca="false">I9</f>
        <v>HAI SHUN FENG 27
2601N</v>
      </c>
      <c r="J101" s="10" t="n">
        <f aca="false">J9</f>
        <v>46056</v>
      </c>
      <c r="K101" s="10" t="n">
        <f aca="false">K9</f>
        <v>46059</v>
      </c>
      <c r="L101" s="18" t="n">
        <v>8</v>
      </c>
      <c r="M101" s="9" t="s">
        <v>16</v>
      </c>
      <c r="N101" s="10" t="n">
        <v>46081</v>
      </c>
      <c r="O101" s="42" t="s">
        <v>96</v>
      </c>
      <c r="P101" s="43"/>
    </row>
    <row r="102" customFormat="false" ht="40" hidden="false" customHeight="true" outlineLevel="0" collapsed="false">
      <c r="A102" s="2"/>
      <c r="B102" s="14" t="s">
        <v>106</v>
      </c>
      <c r="C102" s="49" t="n">
        <v>1395</v>
      </c>
      <c r="D102" s="49" t="s">
        <v>73</v>
      </c>
      <c r="E102" s="52" t="n">
        <v>1950</v>
      </c>
      <c r="F102" s="49" t="s">
        <v>73</v>
      </c>
      <c r="G102" s="9" t="s">
        <v>91</v>
      </c>
      <c r="H102" s="9" t="s">
        <v>50</v>
      </c>
      <c r="I102" s="10" t="str">
        <f aca="false">I10</f>
        <v>DATU HONOR
26002N</v>
      </c>
      <c r="J102" s="10" t="n">
        <f aca="false">J10</f>
        <v>46075</v>
      </c>
      <c r="K102" s="10" t="n">
        <f aca="false">K10</f>
        <v>46078</v>
      </c>
      <c r="L102" s="18" t="n">
        <v>7</v>
      </c>
      <c r="M102" s="9" t="s">
        <v>16</v>
      </c>
      <c r="N102" s="10" t="n">
        <v>46078</v>
      </c>
      <c r="O102" s="45" t="s">
        <v>121</v>
      </c>
      <c r="P102" s="12" t="s">
        <v>109</v>
      </c>
    </row>
    <row r="103" customFormat="false" ht="40" hidden="false" customHeight="true" outlineLevel="0" collapsed="false">
      <c r="A103" s="2"/>
      <c r="B103" s="14" t="s">
        <v>106</v>
      </c>
      <c r="C103" s="49" t="n">
        <v>1395</v>
      </c>
      <c r="D103" s="49" t="s">
        <v>73</v>
      </c>
      <c r="E103" s="52" t="n">
        <v>1950</v>
      </c>
      <c r="F103" s="49" t="s">
        <v>73</v>
      </c>
      <c r="G103" s="9" t="s">
        <v>91</v>
      </c>
      <c r="H103" s="9" t="s">
        <v>74</v>
      </c>
      <c r="I103" s="10" t="str">
        <f aca="false">I11</f>
        <v>DATU HONOR
26002N</v>
      </c>
      <c r="J103" s="10" t="n">
        <f aca="false">J11</f>
        <v>46075</v>
      </c>
      <c r="K103" s="10" t="n">
        <f aca="false">K11</f>
        <v>46078</v>
      </c>
      <c r="L103" s="18" t="n">
        <v>5</v>
      </c>
      <c r="M103" s="9" t="s">
        <v>16</v>
      </c>
      <c r="N103" s="10" t="n">
        <v>46078</v>
      </c>
      <c r="O103" s="45" t="s">
        <v>121</v>
      </c>
      <c r="P103" s="12"/>
    </row>
    <row r="104" customFormat="false" ht="40" hidden="false" customHeight="true" outlineLevel="0" collapsed="false">
      <c r="A104" s="2"/>
      <c r="B104" s="14" t="s">
        <v>110</v>
      </c>
      <c r="C104" s="49" t="n">
        <v>1120</v>
      </c>
      <c r="D104" s="49" t="s">
        <v>73</v>
      </c>
      <c r="E104" s="52" t="n">
        <v>2030</v>
      </c>
      <c r="F104" s="49" t="s">
        <v>72</v>
      </c>
      <c r="G104" s="9" t="s">
        <v>91</v>
      </c>
      <c r="H104" s="9" t="s">
        <v>14</v>
      </c>
      <c r="I104" s="10" t="str">
        <f aca="false">I12</f>
        <v>GANG TONG 19
119W</v>
      </c>
      <c r="J104" s="10" t="n">
        <f aca="false">J12</f>
        <v>46086</v>
      </c>
      <c r="K104" s="10" t="n">
        <f aca="false">K12</f>
        <v>46089</v>
      </c>
      <c r="L104" s="18" t="n">
        <v>7</v>
      </c>
      <c r="M104" s="9" t="s">
        <v>16</v>
      </c>
      <c r="N104" s="10" t="n">
        <v>46089</v>
      </c>
      <c r="O104" s="42" t="s">
        <v>96</v>
      </c>
      <c r="P104" s="12" t="s">
        <v>112</v>
      </c>
    </row>
    <row r="105" customFormat="false" ht="40" hidden="false" customHeight="true" outlineLevel="0" collapsed="false">
      <c r="A105" s="2"/>
      <c r="B105" s="14" t="s">
        <v>110</v>
      </c>
      <c r="C105" s="49" t="n">
        <v>1120</v>
      </c>
      <c r="D105" s="49" t="s">
        <v>73</v>
      </c>
      <c r="E105" s="52" t="n">
        <v>2030</v>
      </c>
      <c r="F105" s="49" t="s">
        <v>72</v>
      </c>
      <c r="G105" s="9" t="s">
        <v>91</v>
      </c>
      <c r="H105" s="9" t="s">
        <v>74</v>
      </c>
      <c r="I105" s="10" t="s">
        <v>111</v>
      </c>
      <c r="J105" s="10" t="n">
        <f aca="false">J13</f>
        <v>46086</v>
      </c>
      <c r="K105" s="10" t="n">
        <f aca="false">K13</f>
        <v>46089</v>
      </c>
      <c r="L105" s="18" t="n">
        <v>8</v>
      </c>
      <c r="M105" s="9" t="s">
        <v>16</v>
      </c>
      <c r="N105" s="10" t="n">
        <v>46089</v>
      </c>
      <c r="O105" s="42" t="s">
        <v>96</v>
      </c>
      <c r="P105" s="12"/>
    </row>
    <row r="106" customFormat="false" ht="28.9" hidden="false" customHeight="false" outlineLevel="0" collapsed="false">
      <c r="A106" s="2"/>
      <c r="B106" s="7" t="s">
        <v>66</v>
      </c>
      <c r="C106" s="49" t="n">
        <v>1080</v>
      </c>
      <c r="D106" s="52" t="s">
        <v>73</v>
      </c>
      <c r="E106" s="49" t="n">
        <v>1950</v>
      </c>
      <c r="F106" s="52" t="s">
        <v>73</v>
      </c>
      <c r="G106" s="9" t="s">
        <v>91</v>
      </c>
      <c r="H106" s="12" t="str">
        <f aca="false">H14</f>
        <v>Vladivostok Fish Port</v>
      </c>
      <c r="I106" s="12" t="str">
        <f aca="false">I14</f>
        <v>Crystal StPetersburg 22603W</v>
      </c>
      <c r="J106" s="10" t="n">
        <f aca="false">J14</f>
        <v>46074</v>
      </c>
      <c r="K106" s="10" t="n">
        <f aca="false">K14</f>
        <v>46077</v>
      </c>
      <c r="L106" s="18" t="n">
        <v>7</v>
      </c>
      <c r="M106" s="9" t="s">
        <v>16</v>
      </c>
      <c r="N106" s="10" t="n">
        <v>46081</v>
      </c>
      <c r="O106" s="42" t="s">
        <v>96</v>
      </c>
      <c r="P106" s="46"/>
    </row>
    <row r="107" customFormat="false" ht="28.9" hidden="false" customHeight="false" outlineLevel="0" collapsed="false">
      <c r="A107" s="2"/>
      <c r="B107" s="7" t="s">
        <v>102</v>
      </c>
      <c r="C107" s="49" t="s">
        <v>103</v>
      </c>
      <c r="D107" s="49" t="s">
        <v>73</v>
      </c>
      <c r="E107" s="52" t="s">
        <v>103</v>
      </c>
      <c r="F107" s="49" t="s">
        <v>73</v>
      </c>
      <c r="G107" s="9" t="s">
        <v>114</v>
      </c>
      <c r="H107" s="9" t="s">
        <v>61</v>
      </c>
      <c r="I107" s="10" t="s">
        <v>104</v>
      </c>
      <c r="J107" s="44" t="s">
        <v>103</v>
      </c>
      <c r="K107" s="44" t="s">
        <v>103</v>
      </c>
      <c r="L107" s="18" t="n">
        <v>5</v>
      </c>
      <c r="M107" s="9" t="s">
        <v>16</v>
      </c>
      <c r="N107" s="10" t="n">
        <v>46042</v>
      </c>
      <c r="O107" s="12" t="s">
        <v>63</v>
      </c>
      <c r="P107" s="46"/>
    </row>
    <row r="108" customFormat="false" ht="28.9" hidden="false" customHeight="true" outlineLevel="0" collapsed="false">
      <c r="A108" s="2"/>
      <c r="B108" s="7" t="s">
        <v>64</v>
      </c>
      <c r="C108" s="8" t="n">
        <v>1275</v>
      </c>
      <c r="D108" s="8" t="s">
        <v>73</v>
      </c>
      <c r="E108" s="8" t="n">
        <v>1905</v>
      </c>
      <c r="F108" s="8" t="s">
        <v>73</v>
      </c>
      <c r="G108" s="9" t="s">
        <v>114</v>
      </c>
      <c r="H108" s="9" t="s">
        <v>74</v>
      </c>
      <c r="I108" s="10" t="str">
        <f aca="false">I16</f>
        <v>BELLE ARIES
2607N</v>
      </c>
      <c r="J108" s="10" t="n">
        <f aca="false">J16</f>
        <v>46079</v>
      </c>
      <c r="K108" s="10" t="n">
        <f aca="false">K16</f>
        <v>46082</v>
      </c>
      <c r="L108" s="18" t="n">
        <v>5</v>
      </c>
      <c r="M108" s="9" t="s">
        <v>16</v>
      </c>
      <c r="N108" s="10" t="n">
        <v>46082</v>
      </c>
      <c r="O108" s="42" t="s">
        <v>96</v>
      </c>
      <c r="P108" s="12" t="s">
        <v>115</v>
      </c>
    </row>
    <row r="109" customFormat="false" ht="28.9" hidden="false" customHeight="false" outlineLevel="0" collapsed="false">
      <c r="A109" s="2"/>
      <c r="B109" s="7" t="s">
        <v>54</v>
      </c>
      <c r="C109" s="49" t="n">
        <v>1385</v>
      </c>
      <c r="D109" s="52" t="s">
        <v>73</v>
      </c>
      <c r="E109" s="49" t="n">
        <v>1980</v>
      </c>
      <c r="F109" s="52" t="s">
        <v>73</v>
      </c>
      <c r="G109" s="9" t="s">
        <v>114</v>
      </c>
      <c r="H109" s="12" t="s">
        <v>116</v>
      </c>
      <c r="I109" s="10" t="s">
        <v>117</v>
      </c>
      <c r="J109" s="15" t="s">
        <v>118</v>
      </c>
      <c r="K109" s="15" t="s">
        <v>119</v>
      </c>
      <c r="L109" s="18" t="n">
        <v>7</v>
      </c>
      <c r="M109" s="9" t="s">
        <v>16</v>
      </c>
      <c r="N109" s="10" t="n">
        <v>46096</v>
      </c>
      <c r="O109" s="42" t="s">
        <v>96</v>
      </c>
      <c r="P109" s="12"/>
      <c r="Q109" s="53" t="s">
        <v>75</v>
      </c>
    </row>
    <row r="110" customFormat="false" ht="12.75" hidden="false" customHeight="false" outlineLevel="0" collapsed="false">
      <c r="C110" s="49"/>
      <c r="D110" s="49"/>
      <c r="E110" s="52"/>
      <c r="F110" s="49"/>
    </row>
    <row r="111" customFormat="false" ht="15.05" hidden="false" customHeight="true" outlineLevel="0" collapsed="false">
      <c r="A111" s="2" t="s">
        <v>131</v>
      </c>
      <c r="B111" s="3" t="s">
        <v>1</v>
      </c>
      <c r="C111" s="48" t="s">
        <v>70</v>
      </c>
      <c r="D111" s="48"/>
      <c r="E111" s="48" t="s">
        <v>71</v>
      </c>
      <c r="F111" s="48"/>
      <c r="G111" s="4" t="s">
        <v>89</v>
      </c>
      <c r="H111" s="4" t="s">
        <v>4</v>
      </c>
      <c r="I111" s="4" t="s">
        <v>5</v>
      </c>
      <c r="J111" s="4" t="s">
        <v>6</v>
      </c>
      <c r="K111" s="4" t="s">
        <v>7</v>
      </c>
      <c r="L111" s="4" t="s">
        <v>8</v>
      </c>
      <c r="M111" s="4" t="s">
        <v>9</v>
      </c>
      <c r="N111" s="5" t="s">
        <v>10</v>
      </c>
      <c r="O111" s="5" t="s">
        <v>11</v>
      </c>
      <c r="P111" s="5" t="s">
        <v>90</v>
      </c>
    </row>
    <row r="112" customFormat="false" ht="35" hidden="false" customHeight="true" outlineLevel="0" collapsed="false">
      <c r="A112" s="2"/>
      <c r="B112" s="7" t="s">
        <v>13</v>
      </c>
      <c r="C112" s="49" t="n">
        <v>1630</v>
      </c>
      <c r="D112" s="49" t="s">
        <v>72</v>
      </c>
      <c r="E112" s="52" t="n">
        <v>2400</v>
      </c>
      <c r="F112" s="49" t="s">
        <v>72</v>
      </c>
      <c r="G112" s="9" t="s">
        <v>91</v>
      </c>
      <c r="H112" s="9" t="s">
        <v>14</v>
      </c>
      <c r="I112" s="10" t="str">
        <f aca="false">I20</f>
        <v>HAI SHUN FENG 27
2603N</v>
      </c>
      <c r="J112" s="10" t="n">
        <f aca="false">J20</f>
        <v>46088</v>
      </c>
      <c r="K112" s="10" t="n">
        <f aca="false">K20</f>
        <v>46091</v>
      </c>
      <c r="L112" s="18" t="n">
        <v>8</v>
      </c>
      <c r="M112" s="9" t="s">
        <v>16</v>
      </c>
      <c r="N112" s="10" t="n">
        <f aca="false">N20</f>
        <v>46091</v>
      </c>
      <c r="O112" s="12" t="s">
        <v>41</v>
      </c>
      <c r="P112" s="12" t="s">
        <v>92</v>
      </c>
    </row>
    <row r="113" customFormat="false" ht="35" hidden="false" customHeight="true" outlineLevel="0" collapsed="false">
      <c r="A113" s="2"/>
      <c r="B113" s="7" t="s">
        <v>13</v>
      </c>
      <c r="C113" s="49" t="n">
        <v>1605</v>
      </c>
      <c r="D113" s="49" t="s">
        <v>72</v>
      </c>
      <c r="E113" s="52" t="n">
        <v>2325</v>
      </c>
      <c r="F113" s="49" t="s">
        <v>72</v>
      </c>
      <c r="G113" s="9" t="s">
        <v>91</v>
      </c>
      <c r="H113" s="9" t="s">
        <v>19</v>
      </c>
      <c r="I113" s="10" t="str">
        <f aca="false">I21</f>
        <v>HAI SHUN FENG 27
2603N</v>
      </c>
      <c r="J113" s="10" t="n">
        <f aca="false">J21</f>
        <v>46088</v>
      </c>
      <c r="K113" s="10" t="n">
        <f aca="false">K21</f>
        <v>46091</v>
      </c>
      <c r="L113" s="18" t="n">
        <v>10</v>
      </c>
      <c r="M113" s="9" t="s">
        <v>16</v>
      </c>
      <c r="N113" s="10" t="n">
        <f aca="false">N21</f>
        <v>46091</v>
      </c>
      <c r="O113" s="12" t="s">
        <v>41</v>
      </c>
      <c r="P113" s="12"/>
    </row>
    <row r="114" customFormat="false" ht="28" hidden="false" customHeight="true" outlineLevel="0" collapsed="false">
      <c r="A114" s="2"/>
      <c r="B114" s="7" t="s">
        <v>49</v>
      </c>
      <c r="C114" s="19" t="n">
        <v>1110</v>
      </c>
      <c r="D114" s="8" t="s">
        <v>72</v>
      </c>
      <c r="E114" s="8" t="n">
        <v>1860</v>
      </c>
      <c r="F114" s="8" t="s">
        <v>72</v>
      </c>
      <c r="G114" s="9" t="s">
        <v>93</v>
      </c>
      <c r="H114" s="9" t="str">
        <f aca="false">H96</f>
        <v>Vladivostok Fish Port</v>
      </c>
      <c r="I114" s="10" t="s">
        <v>94</v>
      </c>
      <c r="J114" s="10" t="n">
        <f aca="false">K114-3</f>
        <v>46078</v>
      </c>
      <c r="K114" s="10" t="n">
        <v>46081</v>
      </c>
      <c r="L114" s="16" t="s">
        <v>95</v>
      </c>
      <c r="M114" s="9" t="s">
        <v>40</v>
      </c>
      <c r="N114" s="10" t="n">
        <v>46081</v>
      </c>
      <c r="O114" s="42" t="s">
        <v>96</v>
      </c>
      <c r="P114" s="43"/>
    </row>
    <row r="115" customFormat="false" ht="42.75" hidden="false" customHeight="false" outlineLevel="0" collapsed="false">
      <c r="A115" s="2"/>
      <c r="B115" s="7" t="s">
        <v>35</v>
      </c>
      <c r="C115" s="49" t="n">
        <v>1935</v>
      </c>
      <c r="D115" s="49" t="s">
        <v>73</v>
      </c>
      <c r="E115" s="52" t="n">
        <v>2760</v>
      </c>
      <c r="F115" s="49" t="s">
        <v>73</v>
      </c>
      <c r="G115" s="9" t="s">
        <v>93</v>
      </c>
      <c r="H115" s="9" t="s">
        <v>22</v>
      </c>
      <c r="I115" s="10" t="s">
        <v>97</v>
      </c>
      <c r="J115" s="10" t="n">
        <f aca="false">K115-3</f>
        <v>46077</v>
      </c>
      <c r="K115" s="10" t="n">
        <v>46080</v>
      </c>
      <c r="L115" s="18" t="s">
        <v>95</v>
      </c>
      <c r="M115" s="9" t="s">
        <v>40</v>
      </c>
      <c r="N115" s="10" t="n">
        <v>46081</v>
      </c>
      <c r="O115" s="12" t="s">
        <v>41</v>
      </c>
      <c r="P115" s="43"/>
    </row>
    <row r="116" customFormat="false" ht="56.6" hidden="false" customHeight="false" outlineLevel="0" collapsed="false">
      <c r="A116" s="2"/>
      <c r="B116" s="14" t="s">
        <v>98</v>
      </c>
      <c r="C116" s="51" t="n">
        <v>1670</v>
      </c>
      <c r="D116" s="8" t="s">
        <v>73</v>
      </c>
      <c r="E116" s="44" t="n">
        <v>2510</v>
      </c>
      <c r="F116" s="8" t="s">
        <v>73</v>
      </c>
      <c r="G116" s="9" t="s">
        <v>93</v>
      </c>
      <c r="H116" s="9" t="str">
        <f aca="false">H98</f>
        <v>Vladivostok Fish Port</v>
      </c>
      <c r="I116" s="10" t="str">
        <f aca="false">I6</f>
        <v>YOULIAN QINGDAO
2605N</v>
      </c>
      <c r="J116" s="10" t="n">
        <f aca="false">J6</f>
        <v>46091</v>
      </c>
      <c r="K116" s="10" t="n">
        <f aca="false">K6</f>
        <v>46094</v>
      </c>
      <c r="L116" s="18" t="n">
        <v>5</v>
      </c>
      <c r="M116" s="9" t="s">
        <v>16</v>
      </c>
      <c r="N116" s="10" t="n">
        <v>46112</v>
      </c>
      <c r="O116" s="12" t="s">
        <v>100</v>
      </c>
      <c r="P116" s="43"/>
    </row>
    <row r="117" customFormat="false" ht="56.6" hidden="false" customHeight="false" outlineLevel="0" collapsed="false">
      <c r="A117" s="2"/>
      <c r="B117" s="14" t="s">
        <v>98</v>
      </c>
      <c r="C117" s="51" t="n">
        <v>1670</v>
      </c>
      <c r="D117" s="8" t="s">
        <v>73</v>
      </c>
      <c r="E117" s="44" t="n">
        <v>2510</v>
      </c>
      <c r="F117" s="8" t="s">
        <v>73</v>
      </c>
      <c r="G117" s="9" t="s">
        <v>93</v>
      </c>
      <c r="H117" s="9" t="s">
        <v>74</v>
      </c>
      <c r="I117" s="10" t="str">
        <f aca="false">I7</f>
        <v>YOULIAN SHANGHAI
2605N</v>
      </c>
      <c r="J117" s="10" t="n">
        <f aca="false">J7</f>
        <v>46091</v>
      </c>
      <c r="K117" s="10" t="n">
        <f aca="false">K7</f>
        <v>46094</v>
      </c>
      <c r="L117" s="18" t="n">
        <v>5</v>
      </c>
      <c r="M117" s="9" t="s">
        <v>16</v>
      </c>
      <c r="N117" s="10" t="n">
        <v>46112</v>
      </c>
      <c r="O117" s="12" t="s">
        <v>100</v>
      </c>
      <c r="P117" s="43"/>
    </row>
    <row r="118" customFormat="false" ht="28.9" hidden="false" customHeight="false" outlineLevel="0" collapsed="false">
      <c r="A118" s="2"/>
      <c r="B118" s="7" t="s">
        <v>102</v>
      </c>
      <c r="C118" s="49" t="s">
        <v>103</v>
      </c>
      <c r="D118" s="49" t="s">
        <v>73</v>
      </c>
      <c r="E118" s="52" t="s">
        <v>103</v>
      </c>
      <c r="F118" s="49" t="s">
        <v>73</v>
      </c>
      <c r="G118" s="9" t="s">
        <v>93</v>
      </c>
      <c r="H118" s="9" t="s">
        <v>61</v>
      </c>
      <c r="I118" s="10" t="s">
        <v>104</v>
      </c>
      <c r="J118" s="44" t="s">
        <v>103</v>
      </c>
      <c r="K118" s="44" t="s">
        <v>103</v>
      </c>
      <c r="L118" s="18" t="n">
        <v>7</v>
      </c>
      <c r="M118" s="9" t="s">
        <v>105</v>
      </c>
      <c r="N118" s="10" t="n">
        <v>46037</v>
      </c>
      <c r="O118" s="12" t="s">
        <v>63</v>
      </c>
      <c r="P118" s="43"/>
    </row>
    <row r="119" customFormat="false" ht="28.9" hidden="false" customHeight="false" outlineLevel="0" collapsed="false">
      <c r="A119" s="2"/>
      <c r="B119" s="7" t="s">
        <v>29</v>
      </c>
      <c r="C119" s="49" t="s">
        <v>30</v>
      </c>
      <c r="D119" s="52" t="s">
        <v>73</v>
      </c>
      <c r="E119" s="49" t="s">
        <v>30</v>
      </c>
      <c r="F119" s="52" t="s">
        <v>73</v>
      </c>
      <c r="G119" s="9" t="s">
        <v>91</v>
      </c>
      <c r="H119" s="9" t="s">
        <v>14</v>
      </c>
      <c r="I119" s="10" t="str">
        <f aca="false">I9</f>
        <v>HAI SHUN FENG 27
2601N</v>
      </c>
      <c r="J119" s="10" t="n">
        <f aca="false">J9</f>
        <v>46056</v>
      </c>
      <c r="K119" s="10" t="n">
        <f aca="false">K9</f>
        <v>46059</v>
      </c>
      <c r="L119" s="18" t="n">
        <v>8</v>
      </c>
      <c r="M119" s="9" t="s">
        <v>16</v>
      </c>
      <c r="N119" s="10" t="n">
        <v>46081</v>
      </c>
      <c r="O119" s="42" t="s">
        <v>96</v>
      </c>
      <c r="P119" s="43"/>
    </row>
    <row r="120" customFormat="false" ht="40" hidden="false" customHeight="true" outlineLevel="0" collapsed="false">
      <c r="A120" s="2"/>
      <c r="B120" s="14" t="s">
        <v>106</v>
      </c>
      <c r="C120" s="49" t="n">
        <v>1745</v>
      </c>
      <c r="D120" s="49" t="s">
        <v>73</v>
      </c>
      <c r="E120" s="52" t="n">
        <v>2430</v>
      </c>
      <c r="F120" s="49" t="s">
        <v>73</v>
      </c>
      <c r="G120" s="9" t="s">
        <v>91</v>
      </c>
      <c r="H120" s="9" t="s">
        <v>50</v>
      </c>
      <c r="I120" s="10" t="str">
        <f aca="false">I10</f>
        <v>DATU HONOR
26002N</v>
      </c>
      <c r="J120" s="10" t="n">
        <f aca="false">J10</f>
        <v>46075</v>
      </c>
      <c r="K120" s="10" t="n">
        <f aca="false">K10</f>
        <v>46078</v>
      </c>
      <c r="L120" s="18" t="n">
        <v>7</v>
      </c>
      <c r="M120" s="9" t="s">
        <v>16</v>
      </c>
      <c r="N120" s="10" t="n">
        <v>46078</v>
      </c>
      <c r="O120" s="45" t="s">
        <v>121</v>
      </c>
      <c r="P120" s="12" t="s">
        <v>109</v>
      </c>
    </row>
    <row r="121" customFormat="false" ht="40" hidden="false" customHeight="true" outlineLevel="0" collapsed="false">
      <c r="A121" s="2"/>
      <c r="B121" s="14" t="s">
        <v>106</v>
      </c>
      <c r="C121" s="49" t="n">
        <v>1745</v>
      </c>
      <c r="D121" s="49" t="s">
        <v>73</v>
      </c>
      <c r="E121" s="52" t="n">
        <v>2430</v>
      </c>
      <c r="F121" s="49" t="s">
        <v>73</v>
      </c>
      <c r="G121" s="9" t="s">
        <v>91</v>
      </c>
      <c r="H121" s="9" t="s">
        <v>74</v>
      </c>
      <c r="I121" s="10" t="str">
        <f aca="false">I11</f>
        <v>DATU HONOR
26002N</v>
      </c>
      <c r="J121" s="10" t="n">
        <f aca="false">J11</f>
        <v>46075</v>
      </c>
      <c r="K121" s="10" t="n">
        <f aca="false">K11</f>
        <v>46078</v>
      </c>
      <c r="L121" s="18" t="n">
        <v>5</v>
      </c>
      <c r="M121" s="9" t="s">
        <v>16</v>
      </c>
      <c r="N121" s="10" t="n">
        <v>46078</v>
      </c>
      <c r="O121" s="45" t="s">
        <v>121</v>
      </c>
      <c r="P121" s="12"/>
    </row>
    <row r="122" customFormat="false" ht="40" hidden="false" customHeight="true" outlineLevel="0" collapsed="false">
      <c r="A122" s="2"/>
      <c r="B122" s="14" t="s">
        <v>110</v>
      </c>
      <c r="C122" s="49" t="n">
        <v>1440</v>
      </c>
      <c r="D122" s="49" t="s">
        <v>72</v>
      </c>
      <c r="E122" s="52" t="n">
        <v>2380</v>
      </c>
      <c r="F122" s="49" t="s">
        <v>72</v>
      </c>
      <c r="G122" s="9" t="s">
        <v>91</v>
      </c>
      <c r="H122" s="9" t="s">
        <v>14</v>
      </c>
      <c r="I122" s="10" t="str">
        <f aca="false">I12</f>
        <v>GANG TONG 19
119W</v>
      </c>
      <c r="J122" s="10" t="n">
        <f aca="false">J12</f>
        <v>46086</v>
      </c>
      <c r="K122" s="10" t="n">
        <f aca="false">K12</f>
        <v>46089</v>
      </c>
      <c r="L122" s="18" t="n">
        <v>7</v>
      </c>
      <c r="M122" s="9" t="s">
        <v>16</v>
      </c>
      <c r="N122" s="10" t="n">
        <v>46089</v>
      </c>
      <c r="O122" s="42" t="s">
        <v>96</v>
      </c>
      <c r="P122" s="12" t="s">
        <v>112</v>
      </c>
    </row>
    <row r="123" customFormat="false" ht="40" hidden="false" customHeight="true" outlineLevel="0" collapsed="false">
      <c r="A123" s="2"/>
      <c r="B123" s="14" t="s">
        <v>110</v>
      </c>
      <c r="C123" s="49" t="n">
        <v>1440</v>
      </c>
      <c r="D123" s="49" t="s">
        <v>72</v>
      </c>
      <c r="E123" s="52" t="n">
        <v>2380</v>
      </c>
      <c r="F123" s="49" t="s">
        <v>72</v>
      </c>
      <c r="G123" s="9" t="s">
        <v>91</v>
      </c>
      <c r="H123" s="9" t="s">
        <v>74</v>
      </c>
      <c r="I123" s="10" t="s">
        <v>111</v>
      </c>
      <c r="J123" s="10" t="n">
        <f aca="false">J13</f>
        <v>46086</v>
      </c>
      <c r="K123" s="10" t="n">
        <f aca="false">K13</f>
        <v>46089</v>
      </c>
      <c r="L123" s="18" t="n">
        <v>8</v>
      </c>
      <c r="M123" s="9" t="s">
        <v>16</v>
      </c>
      <c r="N123" s="10" t="n">
        <v>46089</v>
      </c>
      <c r="O123" s="42" t="s">
        <v>96</v>
      </c>
      <c r="P123" s="12"/>
    </row>
    <row r="124" customFormat="false" ht="28.9" hidden="false" customHeight="false" outlineLevel="0" collapsed="false">
      <c r="A124" s="2"/>
      <c r="B124" s="7" t="s">
        <v>66</v>
      </c>
      <c r="C124" s="49" t="n">
        <v>1430</v>
      </c>
      <c r="D124" s="52" t="s">
        <v>73</v>
      </c>
      <c r="E124" s="49" t="n">
        <v>2430</v>
      </c>
      <c r="F124" s="52" t="s">
        <v>73</v>
      </c>
      <c r="G124" s="9" t="s">
        <v>91</v>
      </c>
      <c r="H124" s="12" t="str">
        <f aca="false">H14</f>
        <v>Vladivostok Fish Port</v>
      </c>
      <c r="I124" s="12" t="str">
        <f aca="false">I14</f>
        <v>Crystal StPetersburg 22603W</v>
      </c>
      <c r="J124" s="10" t="n">
        <f aca="false">J14</f>
        <v>46074</v>
      </c>
      <c r="K124" s="10" t="n">
        <f aca="false">K14</f>
        <v>46077</v>
      </c>
      <c r="L124" s="18" t="n">
        <v>7</v>
      </c>
      <c r="M124" s="9" t="s">
        <v>16</v>
      </c>
      <c r="N124" s="10" t="n">
        <v>46081</v>
      </c>
      <c r="O124" s="42" t="s">
        <v>96</v>
      </c>
      <c r="P124" s="46"/>
    </row>
    <row r="125" customFormat="false" ht="28.9" hidden="false" customHeight="false" outlineLevel="0" collapsed="false">
      <c r="A125" s="2"/>
      <c r="B125" s="7" t="s">
        <v>102</v>
      </c>
      <c r="C125" s="49" t="s">
        <v>103</v>
      </c>
      <c r="D125" s="49" t="s">
        <v>73</v>
      </c>
      <c r="E125" s="52" t="s">
        <v>103</v>
      </c>
      <c r="F125" s="49" t="s">
        <v>73</v>
      </c>
      <c r="G125" s="9" t="s">
        <v>114</v>
      </c>
      <c r="H125" s="9" t="s">
        <v>61</v>
      </c>
      <c r="I125" s="10" t="s">
        <v>104</v>
      </c>
      <c r="J125" s="44" t="s">
        <v>103</v>
      </c>
      <c r="K125" s="44" t="s">
        <v>103</v>
      </c>
      <c r="L125" s="18" t="n">
        <v>5</v>
      </c>
      <c r="M125" s="9" t="s">
        <v>16</v>
      </c>
      <c r="N125" s="10" t="n">
        <v>46042</v>
      </c>
      <c r="O125" s="12" t="s">
        <v>63</v>
      </c>
      <c r="P125" s="46"/>
    </row>
    <row r="126" customFormat="false" ht="28.9" hidden="false" customHeight="true" outlineLevel="0" collapsed="false">
      <c r="A126" s="2"/>
      <c r="B126" s="7" t="s">
        <v>64</v>
      </c>
      <c r="C126" s="8" t="n">
        <v>1625</v>
      </c>
      <c r="D126" s="8" t="s">
        <v>73</v>
      </c>
      <c r="E126" s="8" t="n">
        <v>2385</v>
      </c>
      <c r="F126" s="8" t="s">
        <v>73</v>
      </c>
      <c r="G126" s="9" t="s">
        <v>114</v>
      </c>
      <c r="H126" s="9" t="s">
        <v>74</v>
      </c>
      <c r="I126" s="10" t="str">
        <f aca="false">I16</f>
        <v>BELLE ARIES
2607N</v>
      </c>
      <c r="J126" s="10" t="n">
        <f aca="false">J16</f>
        <v>46079</v>
      </c>
      <c r="K126" s="10" t="n">
        <f aca="false">K16</f>
        <v>46082</v>
      </c>
      <c r="L126" s="18" t="n">
        <v>5</v>
      </c>
      <c r="M126" s="9" t="s">
        <v>16</v>
      </c>
      <c r="N126" s="10" t="n">
        <v>46082</v>
      </c>
      <c r="O126" s="42" t="s">
        <v>96</v>
      </c>
      <c r="P126" s="12" t="s">
        <v>115</v>
      </c>
    </row>
    <row r="127" customFormat="false" ht="28.9" hidden="false" customHeight="false" outlineLevel="0" collapsed="false">
      <c r="A127" s="2"/>
      <c r="B127" s="7" t="s">
        <v>54</v>
      </c>
      <c r="C127" s="49" t="n">
        <v>1785</v>
      </c>
      <c r="D127" s="52" t="s">
        <v>73</v>
      </c>
      <c r="E127" s="49" t="n">
        <v>2460</v>
      </c>
      <c r="F127" s="52" t="s">
        <v>73</v>
      </c>
      <c r="G127" s="9" t="s">
        <v>114</v>
      </c>
      <c r="H127" s="12" t="s">
        <v>116</v>
      </c>
      <c r="I127" s="10" t="s">
        <v>117</v>
      </c>
      <c r="J127" s="15" t="s">
        <v>118</v>
      </c>
      <c r="K127" s="15" t="s">
        <v>119</v>
      </c>
      <c r="L127" s="18" t="n">
        <v>7</v>
      </c>
      <c r="M127" s="9" t="s">
        <v>16</v>
      </c>
      <c r="N127" s="10" t="n">
        <v>46096</v>
      </c>
      <c r="O127" s="42" t="s">
        <v>96</v>
      </c>
      <c r="P127" s="12"/>
      <c r="Q127" s="53" t="s">
        <v>75</v>
      </c>
    </row>
    <row r="128" customFormat="false" ht="12.75" hidden="false" customHeight="false" outlineLevel="0" collapsed="false">
      <c r="C128" s="49"/>
      <c r="D128" s="49"/>
      <c r="E128" s="52"/>
      <c r="F128" s="49"/>
    </row>
    <row r="129" customFormat="false" ht="15.05" hidden="false" customHeight="true" outlineLevel="0" collapsed="false">
      <c r="A129" s="2" t="s">
        <v>132</v>
      </c>
      <c r="B129" s="3" t="s">
        <v>1</v>
      </c>
      <c r="C129" s="48" t="s">
        <v>70</v>
      </c>
      <c r="D129" s="48"/>
      <c r="E129" s="48" t="s">
        <v>71</v>
      </c>
      <c r="F129" s="48"/>
      <c r="G129" s="4" t="s">
        <v>89</v>
      </c>
      <c r="H129" s="4" t="s">
        <v>4</v>
      </c>
      <c r="I129" s="4" t="s">
        <v>5</v>
      </c>
      <c r="J129" s="4" t="s">
        <v>6</v>
      </c>
      <c r="K129" s="4" t="s">
        <v>7</v>
      </c>
      <c r="L129" s="4" t="s">
        <v>8</v>
      </c>
      <c r="M129" s="4" t="s">
        <v>9</v>
      </c>
      <c r="N129" s="5" t="s">
        <v>10</v>
      </c>
      <c r="O129" s="5" t="s">
        <v>11</v>
      </c>
      <c r="P129" s="5" t="s">
        <v>90</v>
      </c>
    </row>
    <row r="130" customFormat="false" ht="35" hidden="false" customHeight="true" outlineLevel="0" collapsed="false">
      <c r="A130" s="2"/>
      <c r="B130" s="7" t="s">
        <v>13</v>
      </c>
      <c r="C130" s="49" t="n">
        <v>1250</v>
      </c>
      <c r="D130" s="49" t="s">
        <v>72</v>
      </c>
      <c r="E130" s="52" t="n">
        <v>2000</v>
      </c>
      <c r="F130" s="49" t="s">
        <v>72</v>
      </c>
      <c r="G130" s="9" t="s">
        <v>91</v>
      </c>
      <c r="H130" s="9" t="s">
        <v>14</v>
      </c>
      <c r="I130" s="10" t="str">
        <f aca="false">I40</f>
        <v>HAI SHUN FENG 27
2603N</v>
      </c>
      <c r="J130" s="10" t="n">
        <f aca="false">J40</f>
        <v>46088</v>
      </c>
      <c r="K130" s="10" t="n">
        <f aca="false">K40</f>
        <v>46091</v>
      </c>
      <c r="L130" s="18" t="n">
        <v>8</v>
      </c>
      <c r="M130" s="9" t="s">
        <v>16</v>
      </c>
      <c r="N130" s="10" t="n">
        <f aca="false">N40</f>
        <v>46091</v>
      </c>
      <c r="O130" s="12" t="s">
        <v>41</v>
      </c>
      <c r="P130" s="12" t="s">
        <v>92</v>
      </c>
    </row>
    <row r="131" customFormat="false" ht="35" hidden="false" customHeight="true" outlineLevel="0" collapsed="false">
      <c r="A131" s="2"/>
      <c r="B131" s="7" t="s">
        <v>13</v>
      </c>
      <c r="C131" s="49" t="n">
        <v>1225</v>
      </c>
      <c r="D131" s="49" t="s">
        <v>72</v>
      </c>
      <c r="E131" s="52" t="n">
        <v>1925</v>
      </c>
      <c r="F131" s="49" t="s">
        <v>72</v>
      </c>
      <c r="G131" s="9" t="s">
        <v>91</v>
      </c>
      <c r="H131" s="9" t="s">
        <v>19</v>
      </c>
      <c r="I131" s="10" t="str">
        <f aca="false">I41</f>
        <v>HAI SHUN FENG 27
2603N</v>
      </c>
      <c r="J131" s="10" t="n">
        <f aca="false">J41</f>
        <v>46088</v>
      </c>
      <c r="K131" s="10" t="n">
        <f aca="false">K41</f>
        <v>46091</v>
      </c>
      <c r="L131" s="18" t="n">
        <v>10</v>
      </c>
      <c r="M131" s="9" t="s">
        <v>16</v>
      </c>
      <c r="N131" s="10" t="n">
        <f aca="false">N41</f>
        <v>46091</v>
      </c>
      <c r="O131" s="12" t="s">
        <v>41</v>
      </c>
      <c r="P131" s="12"/>
    </row>
    <row r="132" customFormat="false" ht="24" hidden="false" customHeight="true" outlineLevel="0" collapsed="false">
      <c r="A132" s="2"/>
      <c r="B132" s="7" t="s">
        <v>49</v>
      </c>
      <c r="C132" s="19" t="n">
        <v>1210</v>
      </c>
      <c r="D132" s="8" t="s">
        <v>72</v>
      </c>
      <c r="E132" s="8" t="n">
        <v>3860</v>
      </c>
      <c r="F132" s="8" t="s">
        <v>72</v>
      </c>
      <c r="G132" s="9" t="s">
        <v>93</v>
      </c>
      <c r="H132" s="9" t="str">
        <f aca="false">H114</f>
        <v>Vladivostok Fish Port</v>
      </c>
      <c r="I132" s="10" t="s">
        <v>94</v>
      </c>
      <c r="J132" s="10" t="n">
        <f aca="false">K132-3</f>
        <v>46078</v>
      </c>
      <c r="K132" s="10" t="n">
        <v>46081</v>
      </c>
      <c r="L132" s="16" t="s">
        <v>95</v>
      </c>
      <c r="M132" s="9" t="s">
        <v>40</v>
      </c>
      <c r="N132" s="10" t="n">
        <v>46081</v>
      </c>
      <c r="O132" s="42" t="s">
        <v>96</v>
      </c>
      <c r="P132" s="43"/>
    </row>
    <row r="133" customFormat="false" ht="42.75" hidden="false" customHeight="false" outlineLevel="0" collapsed="false">
      <c r="A133" s="2"/>
      <c r="B133" s="7" t="s">
        <v>35</v>
      </c>
      <c r="C133" s="49" t="n">
        <v>1505</v>
      </c>
      <c r="D133" s="49" t="s">
        <v>73</v>
      </c>
      <c r="E133" s="52" t="n">
        <v>2030</v>
      </c>
      <c r="F133" s="49" t="s">
        <v>72</v>
      </c>
      <c r="G133" s="9" t="s">
        <v>93</v>
      </c>
      <c r="H133" s="9" t="s">
        <v>22</v>
      </c>
      <c r="I133" s="10" t="s">
        <v>97</v>
      </c>
      <c r="J133" s="10" t="n">
        <f aca="false">K133-3</f>
        <v>46077</v>
      </c>
      <c r="K133" s="10" t="n">
        <v>46080</v>
      </c>
      <c r="L133" s="18" t="s">
        <v>95</v>
      </c>
      <c r="M133" s="9" t="s">
        <v>40</v>
      </c>
      <c r="N133" s="10" t="n">
        <v>46081</v>
      </c>
      <c r="O133" s="12" t="s">
        <v>41</v>
      </c>
      <c r="P133" s="43"/>
    </row>
    <row r="134" customFormat="false" ht="56.6" hidden="false" customHeight="false" outlineLevel="0" collapsed="false">
      <c r="A134" s="2"/>
      <c r="B134" s="14" t="s">
        <v>98</v>
      </c>
      <c r="C134" s="51" t="n">
        <v>1290</v>
      </c>
      <c r="D134" s="8" t="s">
        <v>73</v>
      </c>
      <c r="E134" s="44" t="n">
        <v>1930</v>
      </c>
      <c r="F134" s="8" t="s">
        <v>73</v>
      </c>
      <c r="G134" s="9" t="s">
        <v>93</v>
      </c>
      <c r="H134" s="9" t="str">
        <f aca="false">H116</f>
        <v>Vladivostok Fish Port</v>
      </c>
      <c r="I134" s="10" t="str">
        <f aca="false">I6</f>
        <v>YOULIAN QINGDAO
2605N</v>
      </c>
      <c r="J134" s="10" t="n">
        <f aca="false">J6</f>
        <v>46091</v>
      </c>
      <c r="K134" s="10" t="n">
        <f aca="false">K6</f>
        <v>46094</v>
      </c>
      <c r="L134" s="18" t="n">
        <v>5</v>
      </c>
      <c r="M134" s="9" t="s">
        <v>16</v>
      </c>
      <c r="N134" s="10" t="n">
        <v>46112</v>
      </c>
      <c r="O134" s="12" t="s">
        <v>100</v>
      </c>
      <c r="P134" s="43"/>
    </row>
    <row r="135" customFormat="false" ht="56.6" hidden="false" customHeight="false" outlineLevel="0" collapsed="false">
      <c r="A135" s="2"/>
      <c r="B135" s="14" t="s">
        <v>98</v>
      </c>
      <c r="C135" s="51" t="n">
        <v>1290</v>
      </c>
      <c r="D135" s="8" t="s">
        <v>73</v>
      </c>
      <c r="E135" s="44" t="n">
        <v>1930</v>
      </c>
      <c r="F135" s="8" t="s">
        <v>73</v>
      </c>
      <c r="G135" s="9" t="s">
        <v>93</v>
      </c>
      <c r="H135" s="9" t="s">
        <v>74</v>
      </c>
      <c r="I135" s="10" t="str">
        <f aca="false">I7</f>
        <v>YOULIAN SHANGHAI
2605N</v>
      </c>
      <c r="J135" s="10" t="n">
        <f aca="false">J7</f>
        <v>46091</v>
      </c>
      <c r="K135" s="10" t="n">
        <f aca="false">K7</f>
        <v>46094</v>
      </c>
      <c r="L135" s="18" t="n">
        <v>5</v>
      </c>
      <c r="M135" s="9" t="s">
        <v>16</v>
      </c>
      <c r="N135" s="10" t="n">
        <v>46112</v>
      </c>
      <c r="O135" s="12" t="s">
        <v>100</v>
      </c>
      <c r="P135" s="43"/>
    </row>
    <row r="136" customFormat="false" ht="28.9" hidden="false" customHeight="false" outlineLevel="0" collapsed="false">
      <c r="A136" s="2"/>
      <c r="B136" s="7" t="s">
        <v>102</v>
      </c>
      <c r="C136" s="49" t="s">
        <v>103</v>
      </c>
      <c r="D136" s="49" t="s">
        <v>73</v>
      </c>
      <c r="E136" s="52" t="s">
        <v>103</v>
      </c>
      <c r="F136" s="49" t="s">
        <v>73</v>
      </c>
      <c r="G136" s="9" t="s">
        <v>93</v>
      </c>
      <c r="H136" s="9" t="s">
        <v>61</v>
      </c>
      <c r="I136" s="10" t="s">
        <v>104</v>
      </c>
      <c r="J136" s="44" t="s">
        <v>103</v>
      </c>
      <c r="K136" s="44" t="s">
        <v>103</v>
      </c>
      <c r="L136" s="18" t="n">
        <v>7</v>
      </c>
      <c r="M136" s="9" t="s">
        <v>105</v>
      </c>
      <c r="N136" s="10" t="n">
        <v>46037</v>
      </c>
      <c r="O136" s="12" t="s">
        <v>63</v>
      </c>
      <c r="P136" s="43"/>
    </row>
    <row r="137" customFormat="false" ht="28.9" hidden="false" customHeight="false" outlineLevel="0" collapsed="false">
      <c r="A137" s="2"/>
      <c r="B137" s="7" t="s">
        <v>29</v>
      </c>
      <c r="C137" s="49" t="s">
        <v>30</v>
      </c>
      <c r="D137" s="52" t="s">
        <v>73</v>
      </c>
      <c r="E137" s="49" t="s">
        <v>30</v>
      </c>
      <c r="F137" s="52" t="s">
        <v>73</v>
      </c>
      <c r="G137" s="9" t="s">
        <v>91</v>
      </c>
      <c r="H137" s="9" t="s">
        <v>14</v>
      </c>
      <c r="I137" s="10" t="str">
        <f aca="false">I9</f>
        <v>HAI SHUN FENG 27
2601N</v>
      </c>
      <c r="J137" s="10" t="n">
        <f aca="false">J9</f>
        <v>46056</v>
      </c>
      <c r="K137" s="10" t="n">
        <f aca="false">K9</f>
        <v>46059</v>
      </c>
      <c r="L137" s="18" t="n">
        <v>8</v>
      </c>
      <c r="M137" s="9" t="s">
        <v>16</v>
      </c>
      <c r="N137" s="10" t="n">
        <v>46081</v>
      </c>
      <c r="O137" s="42" t="s">
        <v>96</v>
      </c>
      <c r="P137" s="43"/>
    </row>
    <row r="138" customFormat="false" ht="40" hidden="false" customHeight="true" outlineLevel="0" collapsed="false">
      <c r="A138" s="2"/>
      <c r="B138" s="14" t="s">
        <v>106</v>
      </c>
      <c r="C138" s="49" t="n">
        <v>1365</v>
      </c>
      <c r="D138" s="49" t="s">
        <v>73</v>
      </c>
      <c r="E138" s="52" t="n">
        <v>1870</v>
      </c>
      <c r="F138" s="49" t="s">
        <v>73</v>
      </c>
      <c r="G138" s="9" t="s">
        <v>91</v>
      </c>
      <c r="H138" s="9" t="s">
        <v>50</v>
      </c>
      <c r="I138" s="10" t="str">
        <f aca="false">I10</f>
        <v>DATU HONOR
26002N</v>
      </c>
      <c r="J138" s="10" t="n">
        <f aca="false">J10</f>
        <v>46075</v>
      </c>
      <c r="K138" s="10" t="n">
        <f aca="false">K10</f>
        <v>46078</v>
      </c>
      <c r="L138" s="18" t="n">
        <v>7</v>
      </c>
      <c r="M138" s="9" t="s">
        <v>16</v>
      </c>
      <c r="N138" s="10" t="n">
        <v>46078</v>
      </c>
      <c r="O138" s="45" t="s">
        <v>121</v>
      </c>
      <c r="P138" s="12" t="s">
        <v>109</v>
      </c>
    </row>
    <row r="139" customFormat="false" ht="40" hidden="false" customHeight="true" outlineLevel="0" collapsed="false">
      <c r="A139" s="2"/>
      <c r="B139" s="14" t="s">
        <v>106</v>
      </c>
      <c r="C139" s="49" t="n">
        <v>1365</v>
      </c>
      <c r="D139" s="49" t="s">
        <v>73</v>
      </c>
      <c r="E139" s="52" t="n">
        <v>1870</v>
      </c>
      <c r="F139" s="49" t="s">
        <v>73</v>
      </c>
      <c r="G139" s="9" t="s">
        <v>91</v>
      </c>
      <c r="H139" s="9" t="s">
        <v>74</v>
      </c>
      <c r="I139" s="10" t="str">
        <f aca="false">I11</f>
        <v>DATU HONOR
26002N</v>
      </c>
      <c r="J139" s="10" t="n">
        <f aca="false">J11</f>
        <v>46075</v>
      </c>
      <c r="K139" s="10" t="n">
        <f aca="false">K11</f>
        <v>46078</v>
      </c>
      <c r="L139" s="18" t="n">
        <v>5</v>
      </c>
      <c r="M139" s="9" t="s">
        <v>16</v>
      </c>
      <c r="N139" s="10" t="n">
        <v>46078</v>
      </c>
      <c r="O139" s="45" t="s">
        <v>121</v>
      </c>
      <c r="P139" s="12"/>
    </row>
    <row r="140" customFormat="false" ht="40" hidden="false" customHeight="true" outlineLevel="0" collapsed="false">
      <c r="A140" s="2"/>
      <c r="B140" s="14" t="s">
        <v>110</v>
      </c>
      <c r="C140" s="49" t="n">
        <v>1090</v>
      </c>
      <c r="D140" s="49" t="s">
        <v>73</v>
      </c>
      <c r="E140" s="52" t="n">
        <v>1930</v>
      </c>
      <c r="F140" s="49" t="s">
        <v>73</v>
      </c>
      <c r="G140" s="9" t="s">
        <v>91</v>
      </c>
      <c r="H140" s="9" t="s">
        <v>14</v>
      </c>
      <c r="I140" s="10" t="str">
        <f aca="false">I12</f>
        <v>GANG TONG 19
119W</v>
      </c>
      <c r="J140" s="10" t="n">
        <f aca="false">J12</f>
        <v>46086</v>
      </c>
      <c r="K140" s="10" t="n">
        <f aca="false">K12</f>
        <v>46089</v>
      </c>
      <c r="L140" s="18" t="n">
        <v>7</v>
      </c>
      <c r="M140" s="9" t="s">
        <v>16</v>
      </c>
      <c r="N140" s="10" t="n">
        <v>46089</v>
      </c>
      <c r="O140" s="42" t="s">
        <v>96</v>
      </c>
      <c r="P140" s="12" t="s">
        <v>112</v>
      </c>
    </row>
    <row r="141" customFormat="false" ht="40" hidden="false" customHeight="true" outlineLevel="0" collapsed="false">
      <c r="A141" s="2"/>
      <c r="B141" s="14" t="s">
        <v>110</v>
      </c>
      <c r="C141" s="49" t="n">
        <v>1090</v>
      </c>
      <c r="D141" s="49" t="s">
        <v>73</v>
      </c>
      <c r="E141" s="52" t="n">
        <v>1930</v>
      </c>
      <c r="F141" s="49" t="s">
        <v>73</v>
      </c>
      <c r="G141" s="9" t="s">
        <v>91</v>
      </c>
      <c r="H141" s="9" t="s">
        <v>74</v>
      </c>
      <c r="I141" s="10" t="s">
        <v>111</v>
      </c>
      <c r="J141" s="10" t="n">
        <f aca="false">J13</f>
        <v>46086</v>
      </c>
      <c r="K141" s="10" t="n">
        <f aca="false">K13</f>
        <v>46089</v>
      </c>
      <c r="L141" s="18" t="n">
        <v>8</v>
      </c>
      <c r="M141" s="9" t="s">
        <v>16</v>
      </c>
      <c r="N141" s="10" t="n">
        <v>46089</v>
      </c>
      <c r="O141" s="42" t="s">
        <v>96</v>
      </c>
      <c r="P141" s="12"/>
    </row>
    <row r="142" customFormat="false" ht="28.9" hidden="false" customHeight="false" outlineLevel="0" collapsed="false">
      <c r="A142" s="2"/>
      <c r="B142" s="7" t="s">
        <v>66</v>
      </c>
      <c r="C142" s="49" t="n">
        <v>1050</v>
      </c>
      <c r="D142" s="52" t="s">
        <v>73</v>
      </c>
      <c r="E142" s="49" t="n">
        <v>1850</v>
      </c>
      <c r="F142" s="52" t="s">
        <v>73</v>
      </c>
      <c r="G142" s="9" t="s">
        <v>91</v>
      </c>
      <c r="H142" s="12" t="str">
        <f aca="false">H14</f>
        <v>Vladivostok Fish Port</v>
      </c>
      <c r="I142" s="12" t="str">
        <f aca="false">I14</f>
        <v>Crystal StPetersburg 22603W</v>
      </c>
      <c r="J142" s="10" t="n">
        <f aca="false">J14</f>
        <v>46074</v>
      </c>
      <c r="K142" s="10" t="n">
        <f aca="false">K14</f>
        <v>46077</v>
      </c>
      <c r="L142" s="18" t="n">
        <v>7</v>
      </c>
      <c r="M142" s="9" t="s">
        <v>16</v>
      </c>
      <c r="N142" s="10" t="n">
        <v>46081</v>
      </c>
      <c r="O142" s="42" t="s">
        <v>96</v>
      </c>
      <c r="P142" s="46"/>
    </row>
    <row r="143" customFormat="false" ht="28.9" hidden="false" customHeight="false" outlineLevel="0" collapsed="false">
      <c r="A143" s="2"/>
      <c r="B143" s="7" t="s">
        <v>102</v>
      </c>
      <c r="C143" s="49" t="s">
        <v>103</v>
      </c>
      <c r="D143" s="49" t="s">
        <v>73</v>
      </c>
      <c r="E143" s="52" t="s">
        <v>103</v>
      </c>
      <c r="F143" s="49" t="s">
        <v>73</v>
      </c>
      <c r="G143" s="9" t="s">
        <v>114</v>
      </c>
      <c r="H143" s="9" t="s">
        <v>61</v>
      </c>
      <c r="I143" s="10" t="s">
        <v>104</v>
      </c>
      <c r="J143" s="44" t="s">
        <v>103</v>
      </c>
      <c r="K143" s="44" t="s">
        <v>103</v>
      </c>
      <c r="L143" s="18" t="n">
        <v>5</v>
      </c>
      <c r="M143" s="9" t="s">
        <v>16</v>
      </c>
      <c r="N143" s="10" t="n">
        <v>46042</v>
      </c>
      <c r="O143" s="12" t="s">
        <v>63</v>
      </c>
      <c r="P143" s="46"/>
    </row>
    <row r="144" customFormat="false" ht="28.9" hidden="false" customHeight="true" outlineLevel="0" collapsed="false">
      <c r="A144" s="2"/>
      <c r="B144" s="7" t="s">
        <v>64</v>
      </c>
      <c r="C144" s="8" t="n">
        <v>1245</v>
      </c>
      <c r="D144" s="8" t="s">
        <v>73</v>
      </c>
      <c r="E144" s="8" t="n">
        <v>1825</v>
      </c>
      <c r="F144" s="8" t="s">
        <v>73</v>
      </c>
      <c r="G144" s="9" t="s">
        <v>114</v>
      </c>
      <c r="H144" s="9" t="s">
        <v>74</v>
      </c>
      <c r="I144" s="10" t="str">
        <f aca="false">I16</f>
        <v>BELLE ARIES
2607N</v>
      </c>
      <c r="J144" s="10" t="n">
        <f aca="false">J16</f>
        <v>46079</v>
      </c>
      <c r="K144" s="10" t="n">
        <f aca="false">K16</f>
        <v>46082</v>
      </c>
      <c r="L144" s="18" t="n">
        <v>5</v>
      </c>
      <c r="M144" s="9" t="s">
        <v>16</v>
      </c>
      <c r="N144" s="10" t="n">
        <v>46082</v>
      </c>
      <c r="O144" s="42" t="s">
        <v>96</v>
      </c>
      <c r="P144" s="12" t="s">
        <v>115</v>
      </c>
    </row>
    <row r="145" customFormat="false" ht="28.9" hidden="false" customHeight="false" outlineLevel="0" collapsed="false">
      <c r="A145" s="2"/>
      <c r="B145" s="7" t="s">
        <v>54</v>
      </c>
      <c r="C145" s="49" t="n">
        <v>1355</v>
      </c>
      <c r="D145" s="52" t="s">
        <v>73</v>
      </c>
      <c r="E145" s="49" t="n">
        <v>1900</v>
      </c>
      <c r="F145" s="52" t="s">
        <v>73</v>
      </c>
      <c r="G145" s="9" t="s">
        <v>114</v>
      </c>
      <c r="H145" s="12" t="s">
        <v>116</v>
      </c>
      <c r="I145" s="10" t="s">
        <v>117</v>
      </c>
      <c r="J145" s="15" t="s">
        <v>118</v>
      </c>
      <c r="K145" s="15" t="s">
        <v>119</v>
      </c>
      <c r="L145" s="18" t="n">
        <v>7</v>
      </c>
      <c r="M145" s="9" t="s">
        <v>16</v>
      </c>
      <c r="N145" s="10" t="n">
        <v>46096</v>
      </c>
      <c r="O145" s="42" t="s">
        <v>96</v>
      </c>
      <c r="P145" s="12"/>
      <c r="Q145" s="53" t="s">
        <v>75</v>
      </c>
    </row>
    <row r="146" customFormat="false" ht="12.75" hidden="false" customHeight="false" outlineLevel="0" collapsed="false">
      <c r="C146" s="49"/>
      <c r="D146" s="49"/>
      <c r="E146" s="52"/>
      <c r="F146" s="49"/>
    </row>
    <row r="147" customFormat="false" ht="15.05" hidden="false" customHeight="true" outlineLevel="0" collapsed="false">
      <c r="A147" s="2" t="s">
        <v>133</v>
      </c>
      <c r="B147" s="3" t="s">
        <v>1</v>
      </c>
      <c r="C147" s="48" t="s">
        <v>70</v>
      </c>
      <c r="D147" s="48"/>
      <c r="E147" s="48" t="s">
        <v>71</v>
      </c>
      <c r="F147" s="48"/>
      <c r="G147" s="4" t="s">
        <v>89</v>
      </c>
      <c r="H147" s="4" t="s">
        <v>4</v>
      </c>
      <c r="I147" s="4" t="s">
        <v>5</v>
      </c>
      <c r="J147" s="4" t="s">
        <v>6</v>
      </c>
      <c r="K147" s="4" t="s">
        <v>7</v>
      </c>
      <c r="L147" s="4" t="s">
        <v>8</v>
      </c>
      <c r="M147" s="4" t="s">
        <v>9</v>
      </c>
      <c r="N147" s="5" t="s">
        <v>10</v>
      </c>
      <c r="O147" s="5" t="s">
        <v>11</v>
      </c>
      <c r="P147" s="5" t="s">
        <v>90</v>
      </c>
    </row>
    <row r="148" customFormat="false" ht="35" hidden="false" customHeight="true" outlineLevel="0" collapsed="false">
      <c r="A148" s="2"/>
      <c r="B148" s="7" t="s">
        <v>13</v>
      </c>
      <c r="C148" s="49" t="n">
        <v>1550</v>
      </c>
      <c r="D148" s="49" t="s">
        <v>72</v>
      </c>
      <c r="E148" s="52" t="n">
        <v>2250</v>
      </c>
      <c r="F148" s="49" t="s">
        <v>72</v>
      </c>
      <c r="G148" s="9" t="s">
        <v>91</v>
      </c>
      <c r="H148" s="9" t="s">
        <v>14</v>
      </c>
      <c r="I148" s="10" t="str">
        <f aca="false">I59</f>
        <v>HAI SHUN FENG 27
2603N</v>
      </c>
      <c r="J148" s="10" t="n">
        <f aca="false">J59</f>
        <v>46088</v>
      </c>
      <c r="K148" s="10" t="n">
        <f aca="false">K59</f>
        <v>46091</v>
      </c>
      <c r="L148" s="18" t="n">
        <v>8</v>
      </c>
      <c r="M148" s="9" t="s">
        <v>16</v>
      </c>
      <c r="N148" s="10" t="n">
        <f aca="false">N58</f>
        <v>46091</v>
      </c>
      <c r="O148" s="12" t="s">
        <v>41</v>
      </c>
      <c r="P148" s="12" t="s">
        <v>92</v>
      </c>
    </row>
    <row r="149" customFormat="false" ht="35" hidden="false" customHeight="true" outlineLevel="0" collapsed="false">
      <c r="A149" s="2"/>
      <c r="B149" s="7" t="s">
        <v>13</v>
      </c>
      <c r="C149" s="49" t="n">
        <v>1525</v>
      </c>
      <c r="D149" s="49" t="s">
        <v>72</v>
      </c>
      <c r="E149" s="52" t="n">
        <v>2175</v>
      </c>
      <c r="F149" s="49" t="s">
        <v>72</v>
      </c>
      <c r="G149" s="9" t="s">
        <v>91</v>
      </c>
      <c r="H149" s="9" t="s">
        <v>19</v>
      </c>
      <c r="I149" s="10" t="str">
        <f aca="false">I76</f>
        <v>HAI SHUN FENG 27
2603N</v>
      </c>
      <c r="J149" s="10" t="n">
        <f aca="false">J76</f>
        <v>46088</v>
      </c>
      <c r="K149" s="10" t="n">
        <f aca="false">K76</f>
        <v>46091</v>
      </c>
      <c r="L149" s="18" t="n">
        <v>10</v>
      </c>
      <c r="M149" s="9" t="s">
        <v>16</v>
      </c>
      <c r="N149" s="10" t="n">
        <f aca="false">N148</f>
        <v>46091</v>
      </c>
      <c r="O149" s="12" t="s">
        <v>41</v>
      </c>
      <c r="P149" s="12"/>
    </row>
    <row r="150" customFormat="false" ht="25" hidden="false" customHeight="true" outlineLevel="0" collapsed="false">
      <c r="A150" s="2"/>
      <c r="B150" s="7" t="s">
        <v>49</v>
      </c>
      <c r="C150" s="8" t="s">
        <v>30</v>
      </c>
      <c r="D150" s="8" t="s">
        <v>30</v>
      </c>
      <c r="E150" s="8" t="s">
        <v>30</v>
      </c>
      <c r="F150" s="8" t="s">
        <v>30</v>
      </c>
      <c r="G150" s="9" t="s">
        <v>93</v>
      </c>
      <c r="H150" s="9" t="str">
        <f aca="false">H132</f>
        <v>Vladivostok Fish Port</v>
      </c>
      <c r="I150" s="10" t="s">
        <v>94</v>
      </c>
      <c r="J150" s="10" t="n">
        <f aca="false">K150-3</f>
        <v>46078</v>
      </c>
      <c r="K150" s="10" t="n">
        <v>46081</v>
      </c>
      <c r="L150" s="16" t="s">
        <v>95</v>
      </c>
      <c r="M150" s="9" t="s">
        <v>40</v>
      </c>
      <c r="N150" s="10" t="n">
        <v>46081</v>
      </c>
      <c r="O150" s="42" t="s">
        <v>96</v>
      </c>
      <c r="P150" s="43"/>
    </row>
    <row r="151" customFormat="false" ht="42.75" hidden="false" customHeight="false" outlineLevel="0" collapsed="false">
      <c r="A151" s="2"/>
      <c r="B151" s="7" t="s">
        <v>35</v>
      </c>
      <c r="C151" s="49" t="n">
        <v>1805</v>
      </c>
      <c r="D151" s="49" t="s">
        <v>73</v>
      </c>
      <c r="E151" s="52" t="n">
        <v>2080</v>
      </c>
      <c r="F151" s="49" t="s">
        <v>72</v>
      </c>
      <c r="G151" s="9" t="s">
        <v>93</v>
      </c>
      <c r="H151" s="9" t="s">
        <v>22</v>
      </c>
      <c r="I151" s="10" t="s">
        <v>97</v>
      </c>
      <c r="J151" s="10" t="n">
        <f aca="false">K151-3</f>
        <v>46077</v>
      </c>
      <c r="K151" s="10" t="n">
        <v>46080</v>
      </c>
      <c r="L151" s="18" t="s">
        <v>95</v>
      </c>
      <c r="M151" s="9" t="s">
        <v>40</v>
      </c>
      <c r="N151" s="10" t="n">
        <v>46081</v>
      </c>
      <c r="O151" s="12" t="s">
        <v>41</v>
      </c>
      <c r="P151" s="43"/>
    </row>
    <row r="152" customFormat="false" ht="56.6" hidden="false" customHeight="false" outlineLevel="0" collapsed="false">
      <c r="A152" s="2"/>
      <c r="B152" s="14" t="s">
        <v>98</v>
      </c>
      <c r="C152" s="51" t="n">
        <v>1590</v>
      </c>
      <c r="D152" s="8" t="s">
        <v>73</v>
      </c>
      <c r="E152" s="44" t="n">
        <v>2330</v>
      </c>
      <c r="F152" s="8" t="s">
        <v>73</v>
      </c>
      <c r="G152" s="9" t="s">
        <v>93</v>
      </c>
      <c r="H152" s="9" t="str">
        <f aca="false">H134</f>
        <v>Vladivostok Fish Port</v>
      </c>
      <c r="I152" s="10" t="str">
        <f aca="false">I6</f>
        <v>YOULIAN QINGDAO
2605N</v>
      </c>
      <c r="J152" s="10" t="n">
        <f aca="false">J6</f>
        <v>46091</v>
      </c>
      <c r="K152" s="10" t="n">
        <f aca="false">K6</f>
        <v>46094</v>
      </c>
      <c r="L152" s="18" t="n">
        <v>5</v>
      </c>
      <c r="M152" s="9" t="s">
        <v>16</v>
      </c>
      <c r="N152" s="10" t="n">
        <v>46112</v>
      </c>
      <c r="O152" s="12" t="s">
        <v>100</v>
      </c>
      <c r="P152" s="43"/>
    </row>
    <row r="153" customFormat="false" ht="56.6" hidden="false" customHeight="false" outlineLevel="0" collapsed="false">
      <c r="A153" s="2"/>
      <c r="B153" s="14" t="s">
        <v>98</v>
      </c>
      <c r="C153" s="51" t="n">
        <v>1590</v>
      </c>
      <c r="D153" s="8" t="s">
        <v>73</v>
      </c>
      <c r="E153" s="44" t="n">
        <v>2330</v>
      </c>
      <c r="F153" s="8" t="s">
        <v>73</v>
      </c>
      <c r="G153" s="9" t="s">
        <v>93</v>
      </c>
      <c r="H153" s="9" t="s">
        <v>74</v>
      </c>
      <c r="I153" s="10" t="str">
        <f aca="false">I7</f>
        <v>YOULIAN SHANGHAI
2605N</v>
      </c>
      <c r="J153" s="10" t="n">
        <f aca="false">J7</f>
        <v>46091</v>
      </c>
      <c r="K153" s="10" t="n">
        <f aca="false">K7</f>
        <v>46094</v>
      </c>
      <c r="L153" s="18" t="n">
        <v>5</v>
      </c>
      <c r="M153" s="9" t="s">
        <v>16</v>
      </c>
      <c r="N153" s="10" t="n">
        <v>46112</v>
      </c>
      <c r="O153" s="12" t="s">
        <v>100</v>
      </c>
      <c r="P153" s="43"/>
    </row>
    <row r="154" customFormat="false" ht="28.9" hidden="false" customHeight="false" outlineLevel="0" collapsed="false">
      <c r="A154" s="2"/>
      <c r="B154" s="7" t="s">
        <v>102</v>
      </c>
      <c r="C154" s="49" t="s">
        <v>103</v>
      </c>
      <c r="D154" s="49" t="s">
        <v>73</v>
      </c>
      <c r="E154" s="52" t="s">
        <v>103</v>
      </c>
      <c r="F154" s="49" t="s">
        <v>73</v>
      </c>
      <c r="G154" s="9" t="s">
        <v>93</v>
      </c>
      <c r="H154" s="9" t="s">
        <v>61</v>
      </c>
      <c r="I154" s="10" t="s">
        <v>104</v>
      </c>
      <c r="J154" s="44" t="s">
        <v>103</v>
      </c>
      <c r="K154" s="44" t="s">
        <v>103</v>
      </c>
      <c r="L154" s="18" t="n">
        <v>7</v>
      </c>
      <c r="M154" s="9" t="s">
        <v>105</v>
      </c>
      <c r="N154" s="10" t="n">
        <v>46037</v>
      </c>
      <c r="O154" s="12" t="s">
        <v>63</v>
      </c>
      <c r="P154" s="43"/>
    </row>
    <row r="155" customFormat="false" ht="28.9" hidden="false" customHeight="false" outlineLevel="0" collapsed="false">
      <c r="A155" s="2"/>
      <c r="B155" s="7" t="s">
        <v>29</v>
      </c>
      <c r="C155" s="49" t="s">
        <v>30</v>
      </c>
      <c r="D155" s="52" t="s">
        <v>73</v>
      </c>
      <c r="E155" s="49" t="s">
        <v>30</v>
      </c>
      <c r="F155" s="52" t="s">
        <v>73</v>
      </c>
      <c r="G155" s="9" t="s">
        <v>91</v>
      </c>
      <c r="H155" s="9" t="s">
        <v>14</v>
      </c>
      <c r="I155" s="10" t="str">
        <f aca="false">I9</f>
        <v>HAI SHUN FENG 27
2601N</v>
      </c>
      <c r="J155" s="10" t="n">
        <f aca="false">J9</f>
        <v>46056</v>
      </c>
      <c r="K155" s="10" t="n">
        <f aca="false">K9</f>
        <v>46059</v>
      </c>
      <c r="L155" s="18" t="n">
        <v>8</v>
      </c>
      <c r="M155" s="9" t="s">
        <v>16</v>
      </c>
      <c r="N155" s="10" t="n">
        <v>46081</v>
      </c>
      <c r="O155" s="42" t="s">
        <v>96</v>
      </c>
      <c r="P155" s="43"/>
    </row>
    <row r="156" customFormat="false" ht="40" hidden="false" customHeight="true" outlineLevel="0" collapsed="false">
      <c r="A156" s="2"/>
      <c r="B156" s="14" t="s">
        <v>106</v>
      </c>
      <c r="C156" s="49" t="n">
        <v>1665</v>
      </c>
      <c r="D156" s="49" t="s">
        <v>73</v>
      </c>
      <c r="E156" s="52" t="n">
        <v>2250</v>
      </c>
      <c r="F156" s="49" t="s">
        <v>73</v>
      </c>
      <c r="G156" s="9" t="s">
        <v>91</v>
      </c>
      <c r="H156" s="9" t="s">
        <v>50</v>
      </c>
      <c r="I156" s="10" t="str">
        <f aca="false">I10</f>
        <v>DATU HONOR
26002N</v>
      </c>
      <c r="J156" s="10" t="n">
        <f aca="false">J10</f>
        <v>46075</v>
      </c>
      <c r="K156" s="10" t="n">
        <f aca="false">K10</f>
        <v>46078</v>
      </c>
      <c r="L156" s="18" t="n">
        <v>7</v>
      </c>
      <c r="M156" s="9" t="s">
        <v>16</v>
      </c>
      <c r="N156" s="10" t="n">
        <v>46078</v>
      </c>
      <c r="O156" s="45" t="s">
        <v>121</v>
      </c>
      <c r="P156" s="12" t="s">
        <v>109</v>
      </c>
    </row>
    <row r="157" customFormat="false" ht="40" hidden="false" customHeight="true" outlineLevel="0" collapsed="false">
      <c r="A157" s="2"/>
      <c r="B157" s="14" t="s">
        <v>106</v>
      </c>
      <c r="C157" s="49" t="n">
        <v>1665</v>
      </c>
      <c r="D157" s="49" t="s">
        <v>73</v>
      </c>
      <c r="E157" s="52" t="n">
        <v>2250</v>
      </c>
      <c r="F157" s="49" t="s">
        <v>73</v>
      </c>
      <c r="G157" s="9" t="s">
        <v>91</v>
      </c>
      <c r="H157" s="9" t="s">
        <v>74</v>
      </c>
      <c r="I157" s="10" t="str">
        <f aca="false">I11</f>
        <v>DATU HONOR
26002N</v>
      </c>
      <c r="J157" s="10" t="n">
        <f aca="false">J11</f>
        <v>46075</v>
      </c>
      <c r="K157" s="10" t="n">
        <f aca="false">K11</f>
        <v>46078</v>
      </c>
      <c r="L157" s="18" t="n">
        <v>5</v>
      </c>
      <c r="M157" s="9" t="s">
        <v>16</v>
      </c>
      <c r="N157" s="10" t="n">
        <v>46078</v>
      </c>
      <c r="O157" s="45" t="s">
        <v>121</v>
      </c>
      <c r="P157" s="12"/>
    </row>
    <row r="158" customFormat="false" ht="40" hidden="false" customHeight="true" outlineLevel="0" collapsed="false">
      <c r="A158" s="2"/>
      <c r="B158" s="14" t="s">
        <v>110</v>
      </c>
      <c r="C158" s="49" t="n">
        <v>1390</v>
      </c>
      <c r="D158" s="49" t="s">
        <v>73</v>
      </c>
      <c r="E158" s="52" t="n">
        <v>2330</v>
      </c>
      <c r="F158" s="49" t="s">
        <v>73</v>
      </c>
      <c r="G158" s="9" t="s">
        <v>91</v>
      </c>
      <c r="H158" s="9" t="s">
        <v>14</v>
      </c>
      <c r="I158" s="10" t="str">
        <f aca="false">I13</f>
        <v>GANG TONG 19
119W</v>
      </c>
      <c r="J158" s="10" t="n">
        <f aca="false">J13</f>
        <v>46086</v>
      </c>
      <c r="K158" s="10" t="n">
        <f aca="false">K13</f>
        <v>46089</v>
      </c>
      <c r="L158" s="18" t="n">
        <v>7</v>
      </c>
      <c r="M158" s="9" t="s">
        <v>16</v>
      </c>
      <c r="N158" s="10" t="n">
        <v>46089</v>
      </c>
      <c r="O158" s="42" t="s">
        <v>96</v>
      </c>
      <c r="P158" s="12" t="s">
        <v>112</v>
      </c>
    </row>
    <row r="159" customFormat="false" ht="40" hidden="false" customHeight="true" outlineLevel="0" collapsed="false">
      <c r="A159" s="2"/>
      <c r="B159" s="14" t="s">
        <v>110</v>
      </c>
      <c r="C159" s="49" t="n">
        <v>1390</v>
      </c>
      <c r="D159" s="49" t="s">
        <v>73</v>
      </c>
      <c r="E159" s="52" t="n">
        <v>2330</v>
      </c>
      <c r="F159" s="49" t="s">
        <v>73</v>
      </c>
      <c r="G159" s="9" t="s">
        <v>91</v>
      </c>
      <c r="H159" s="9" t="s">
        <v>74</v>
      </c>
      <c r="I159" s="10" t="s">
        <v>111</v>
      </c>
      <c r="J159" s="10" t="n">
        <f aca="false">K159-3</f>
        <v>46086</v>
      </c>
      <c r="K159" s="10" t="n">
        <v>46089</v>
      </c>
      <c r="L159" s="18" t="n">
        <v>8</v>
      </c>
      <c r="M159" s="9" t="s">
        <v>16</v>
      </c>
      <c r="N159" s="10" t="n">
        <v>46089</v>
      </c>
      <c r="O159" s="42" t="s">
        <v>96</v>
      </c>
      <c r="P159" s="12"/>
    </row>
    <row r="160" customFormat="false" ht="28.9" hidden="false" customHeight="false" outlineLevel="0" collapsed="false">
      <c r="A160" s="2"/>
      <c r="B160" s="7" t="s">
        <v>66</v>
      </c>
      <c r="C160" s="49" t="n">
        <v>1350</v>
      </c>
      <c r="D160" s="52" t="s">
        <v>73</v>
      </c>
      <c r="E160" s="49" t="n">
        <v>2250</v>
      </c>
      <c r="F160" s="52" t="s">
        <v>73</v>
      </c>
      <c r="G160" s="9" t="s">
        <v>91</v>
      </c>
      <c r="H160" s="12" t="str">
        <f aca="false">H14</f>
        <v>Vladivostok Fish Port</v>
      </c>
      <c r="I160" s="12" t="str">
        <f aca="false">I14</f>
        <v>Crystal StPetersburg 22603W</v>
      </c>
      <c r="J160" s="10" t="n">
        <f aca="false">J14</f>
        <v>46074</v>
      </c>
      <c r="K160" s="10" t="n">
        <f aca="false">K14</f>
        <v>46077</v>
      </c>
      <c r="L160" s="18" t="n">
        <v>7</v>
      </c>
      <c r="M160" s="9" t="s">
        <v>16</v>
      </c>
      <c r="N160" s="10" t="n">
        <v>46081</v>
      </c>
      <c r="O160" s="42" t="s">
        <v>96</v>
      </c>
      <c r="P160" s="46"/>
    </row>
    <row r="161" customFormat="false" ht="28.9" hidden="false" customHeight="false" outlineLevel="0" collapsed="false">
      <c r="A161" s="2"/>
      <c r="B161" s="7" t="s">
        <v>102</v>
      </c>
      <c r="C161" s="44" t="s">
        <v>103</v>
      </c>
      <c r="D161" s="44" t="s">
        <v>73</v>
      </c>
      <c r="E161" s="44" t="s">
        <v>103</v>
      </c>
      <c r="F161" s="44" t="s">
        <v>73</v>
      </c>
      <c r="G161" s="9" t="s">
        <v>114</v>
      </c>
      <c r="H161" s="9" t="s">
        <v>61</v>
      </c>
      <c r="I161" s="10" t="s">
        <v>104</v>
      </c>
      <c r="J161" s="44" t="s">
        <v>103</v>
      </c>
      <c r="K161" s="44" t="s">
        <v>103</v>
      </c>
      <c r="L161" s="18" t="n">
        <v>5</v>
      </c>
      <c r="M161" s="9" t="s">
        <v>16</v>
      </c>
      <c r="N161" s="10" t="n">
        <v>46042</v>
      </c>
      <c r="O161" s="12" t="s">
        <v>63</v>
      </c>
      <c r="P161" s="46"/>
    </row>
    <row r="162" customFormat="false" ht="28.9" hidden="false" customHeight="true" outlineLevel="0" collapsed="false">
      <c r="A162" s="2"/>
      <c r="B162" s="7" t="s">
        <v>64</v>
      </c>
      <c r="C162" s="8" t="n">
        <v>1545</v>
      </c>
      <c r="D162" s="8" t="s">
        <v>73</v>
      </c>
      <c r="E162" s="8" t="n">
        <v>2205</v>
      </c>
      <c r="F162" s="8" t="s">
        <v>73</v>
      </c>
      <c r="G162" s="9" t="s">
        <v>114</v>
      </c>
      <c r="H162" s="9" t="s">
        <v>74</v>
      </c>
      <c r="I162" s="10" t="str">
        <f aca="false">I16</f>
        <v>BELLE ARIES
2607N</v>
      </c>
      <c r="J162" s="10" t="n">
        <f aca="false">J16</f>
        <v>46079</v>
      </c>
      <c r="K162" s="10" t="n">
        <f aca="false">K16</f>
        <v>46082</v>
      </c>
      <c r="L162" s="18" t="n">
        <v>5</v>
      </c>
      <c r="M162" s="9" t="s">
        <v>16</v>
      </c>
      <c r="N162" s="10" t="n">
        <v>46082</v>
      </c>
      <c r="O162" s="42" t="s">
        <v>96</v>
      </c>
      <c r="P162" s="12" t="s">
        <v>115</v>
      </c>
    </row>
    <row r="163" customFormat="false" ht="28.9" hidden="false" customHeight="false" outlineLevel="0" collapsed="false">
      <c r="A163" s="2"/>
      <c r="B163" s="7" t="s">
        <v>54</v>
      </c>
      <c r="C163" s="49" t="n">
        <v>1655</v>
      </c>
      <c r="D163" s="52" t="s">
        <v>73</v>
      </c>
      <c r="E163" s="49" t="n">
        <v>2280</v>
      </c>
      <c r="F163" s="52" t="s">
        <v>73</v>
      </c>
      <c r="G163" s="9" t="s">
        <v>114</v>
      </c>
      <c r="H163" s="12" t="s">
        <v>116</v>
      </c>
      <c r="I163" s="10" t="s">
        <v>117</v>
      </c>
      <c r="J163" s="15" t="s">
        <v>118</v>
      </c>
      <c r="K163" s="15" t="s">
        <v>119</v>
      </c>
      <c r="L163" s="18" t="n">
        <v>7</v>
      </c>
      <c r="M163" s="9" t="s">
        <v>16</v>
      </c>
      <c r="N163" s="10" t="n">
        <v>46096</v>
      </c>
      <c r="O163" s="42" t="s">
        <v>96</v>
      </c>
      <c r="P163" s="12"/>
      <c r="Q163" s="53" t="s">
        <v>75</v>
      </c>
    </row>
    <row r="164" customFormat="false" ht="12.75" hidden="false" customHeight="false" outlineLevel="0" collapsed="false">
      <c r="C164" s="47"/>
      <c r="D164" s="47"/>
      <c r="E164" s="47"/>
      <c r="F164" s="47"/>
    </row>
    <row r="165" customFormat="false" ht="15.05" hidden="false" customHeight="true" outlineLevel="0" collapsed="false">
      <c r="A165" s="2" t="s">
        <v>134</v>
      </c>
      <c r="B165" s="3" t="s">
        <v>1</v>
      </c>
      <c r="C165" s="48" t="s">
        <v>70</v>
      </c>
      <c r="D165" s="48"/>
      <c r="E165" s="48" t="s">
        <v>71</v>
      </c>
      <c r="F165" s="48"/>
      <c r="G165" s="4" t="s">
        <v>89</v>
      </c>
      <c r="H165" s="4" t="s">
        <v>4</v>
      </c>
      <c r="I165" s="4" t="s">
        <v>5</v>
      </c>
      <c r="J165" s="4" t="s">
        <v>6</v>
      </c>
      <c r="K165" s="4" t="s">
        <v>7</v>
      </c>
      <c r="L165" s="4" t="s">
        <v>8</v>
      </c>
      <c r="M165" s="4" t="s">
        <v>9</v>
      </c>
      <c r="N165" s="5" t="s">
        <v>10</v>
      </c>
      <c r="O165" s="5" t="s">
        <v>11</v>
      </c>
      <c r="P165" s="5" t="s">
        <v>90</v>
      </c>
    </row>
    <row r="166" customFormat="false" ht="62" hidden="false" customHeight="true" outlineLevel="0" collapsed="false">
      <c r="A166" s="2"/>
      <c r="B166" s="7" t="s">
        <v>13</v>
      </c>
      <c r="C166" s="49" t="n">
        <v>1680</v>
      </c>
      <c r="D166" s="49" t="s">
        <v>72</v>
      </c>
      <c r="E166" s="49" t="n">
        <v>2730</v>
      </c>
      <c r="F166" s="49" t="s">
        <v>72</v>
      </c>
      <c r="G166" s="9" t="s">
        <v>91</v>
      </c>
      <c r="H166" s="9" t="s">
        <v>14</v>
      </c>
      <c r="I166" s="10" t="str">
        <f aca="false">I77</f>
        <v>HAI SHUN FENG 27
2603N</v>
      </c>
      <c r="J166" s="10" t="n">
        <f aca="false">J77</f>
        <v>46088</v>
      </c>
      <c r="K166" s="10" t="n">
        <f aca="false">K77</f>
        <v>46091</v>
      </c>
      <c r="L166" s="18" t="n">
        <v>8</v>
      </c>
      <c r="M166" s="9" t="s">
        <v>16</v>
      </c>
      <c r="N166" s="10" t="n">
        <f aca="false">N148</f>
        <v>46091</v>
      </c>
      <c r="O166" s="12" t="s">
        <v>41</v>
      </c>
      <c r="P166" s="56" t="s">
        <v>92</v>
      </c>
    </row>
    <row r="167" customFormat="false" ht="42.75" hidden="false" customHeight="false" outlineLevel="0" collapsed="false">
      <c r="A167" s="2"/>
      <c r="B167" s="7" t="s">
        <v>35</v>
      </c>
      <c r="C167" s="49" t="n">
        <v>1935</v>
      </c>
      <c r="D167" s="49" t="s">
        <v>73</v>
      </c>
      <c r="E167" s="49" t="n">
        <v>3030</v>
      </c>
      <c r="F167" s="52" t="s">
        <v>73</v>
      </c>
      <c r="G167" s="57" t="s">
        <v>93</v>
      </c>
      <c r="H167" s="9" t="s">
        <v>14</v>
      </c>
      <c r="I167" s="10" t="s">
        <v>97</v>
      </c>
      <c r="J167" s="10" t="n">
        <f aca="false">K167-3</f>
        <v>46077</v>
      </c>
      <c r="K167" s="10" t="n">
        <v>46080</v>
      </c>
      <c r="L167" s="18" t="s">
        <v>95</v>
      </c>
      <c r="M167" s="9" t="s">
        <v>40</v>
      </c>
      <c r="N167" s="10" t="n">
        <v>46081</v>
      </c>
      <c r="O167" s="12" t="s">
        <v>41</v>
      </c>
      <c r="P167" s="9"/>
    </row>
    <row r="168" customFormat="false" ht="28.9" hidden="false" customHeight="false" outlineLevel="0" collapsed="false">
      <c r="A168" s="2"/>
      <c r="B168" s="7" t="s">
        <v>29</v>
      </c>
      <c r="C168" s="49" t="s">
        <v>30</v>
      </c>
      <c r="D168" s="52" t="s">
        <v>73</v>
      </c>
      <c r="E168" s="49" t="s">
        <v>30</v>
      </c>
      <c r="F168" s="52" t="s">
        <v>73</v>
      </c>
      <c r="G168" s="57" t="s">
        <v>91</v>
      </c>
      <c r="H168" s="9" t="s">
        <v>14</v>
      </c>
      <c r="I168" s="10" t="str">
        <f aca="false">I9</f>
        <v>HAI SHUN FENG 27
2601N</v>
      </c>
      <c r="J168" s="10" t="n">
        <f aca="false">J9</f>
        <v>46056</v>
      </c>
      <c r="K168" s="10" t="n">
        <f aca="false">K9</f>
        <v>46059</v>
      </c>
      <c r="L168" s="18" t="n">
        <v>8</v>
      </c>
      <c r="M168" s="9" t="s">
        <v>16</v>
      </c>
      <c r="N168" s="10" t="n">
        <v>46081</v>
      </c>
      <c r="O168" s="42" t="s">
        <v>96</v>
      </c>
      <c r="P168" s="9"/>
    </row>
    <row r="169" customFormat="false" ht="40" hidden="false" customHeight="true" outlineLevel="0" collapsed="false">
      <c r="A169" s="2"/>
      <c r="B169" s="14" t="s">
        <v>110</v>
      </c>
      <c r="C169" s="49" t="n">
        <v>1520</v>
      </c>
      <c r="D169" s="49" t="s">
        <v>73</v>
      </c>
      <c r="E169" s="52" t="n">
        <v>2780</v>
      </c>
      <c r="F169" s="49" t="s">
        <v>73</v>
      </c>
      <c r="G169" s="9" t="s">
        <v>91</v>
      </c>
      <c r="H169" s="9" t="s">
        <v>14</v>
      </c>
      <c r="I169" s="10" t="str">
        <f aca="false">I31</f>
        <v>GANG TONG 19
119W</v>
      </c>
      <c r="J169" s="10" t="n">
        <f aca="false">J31</f>
        <v>46086</v>
      </c>
      <c r="K169" s="10" t="n">
        <f aca="false">K31</f>
        <v>46089</v>
      </c>
      <c r="L169" s="18" t="n">
        <v>7</v>
      </c>
      <c r="M169" s="9" t="s">
        <v>16</v>
      </c>
      <c r="N169" s="10" t="n">
        <v>46089</v>
      </c>
      <c r="O169" s="42" t="s">
        <v>96</v>
      </c>
      <c r="P169" s="56" t="s">
        <v>112</v>
      </c>
      <c r="Q169" s="53" t="s">
        <v>75</v>
      </c>
    </row>
    <row r="170" customFormat="false" ht="12.75" hidden="false" customHeight="false" outlineLevel="0" collapsed="false">
      <c r="C170" s="47"/>
      <c r="D170" s="47"/>
      <c r="E170" s="47"/>
      <c r="F170" s="47"/>
    </row>
    <row r="171" s="31" customFormat="true" ht="15" hidden="false" customHeight="false" outlineLevel="0" collapsed="false">
      <c r="A171" s="36" t="s">
        <v>84</v>
      </c>
    </row>
    <row r="172" s="31" customFormat="true" ht="15" hidden="false" customHeight="false" outlineLevel="0" collapsed="false">
      <c r="A172" s="37" t="s">
        <v>85</v>
      </c>
    </row>
    <row r="173" s="31" customFormat="true" ht="15" hidden="false" customHeight="false" outlineLevel="0" collapsed="false">
      <c r="A173" s="37" t="s">
        <v>86</v>
      </c>
    </row>
    <row r="174" s="31" customFormat="true" ht="13.5" hidden="false" customHeight="false" outlineLevel="0" collapsed="false"/>
    <row r="175" s="31" customFormat="true" ht="22.05" hidden="false" customHeight="false" outlineLevel="0" collapsed="false">
      <c r="L175" s="38" t="s">
        <v>87</v>
      </c>
    </row>
    <row r="176" customFormat="false" ht="13.5" hidden="false" customHeight="false" outlineLevel="0" collapsed="false">
      <c r="C176" s="1"/>
      <c r="D176" s="1"/>
      <c r="E176" s="1"/>
    </row>
  </sheetData>
  <autoFilter ref="A1:Q169"/>
  <mergeCells count="117">
    <mergeCell ref="A1:A17"/>
    <mergeCell ref="C1:D1"/>
    <mergeCell ref="E1:F1"/>
    <mergeCell ref="C2:D2"/>
    <mergeCell ref="E2:F2"/>
    <mergeCell ref="P2:P3"/>
    <mergeCell ref="C3:D3"/>
    <mergeCell ref="E3:F3"/>
    <mergeCell ref="C4:D4"/>
    <mergeCell ref="E4:F4"/>
    <mergeCell ref="P4:P9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P10:P11"/>
    <mergeCell ref="C11:D11"/>
    <mergeCell ref="E11:F11"/>
    <mergeCell ref="C12:D12"/>
    <mergeCell ref="E12:F12"/>
    <mergeCell ref="P12:P13"/>
    <mergeCell ref="C13:D13"/>
    <mergeCell ref="E13:F13"/>
    <mergeCell ref="C14:D14"/>
    <mergeCell ref="E14:F14"/>
    <mergeCell ref="P14:P15"/>
    <mergeCell ref="C15:D15"/>
    <mergeCell ref="E15:F15"/>
    <mergeCell ref="C16:D16"/>
    <mergeCell ref="E16:F16"/>
    <mergeCell ref="P16:P17"/>
    <mergeCell ref="C17:D17"/>
    <mergeCell ref="E17:F17"/>
    <mergeCell ref="A19:A37"/>
    <mergeCell ref="C19:D19"/>
    <mergeCell ref="E19:F19"/>
    <mergeCell ref="P20:P21"/>
    <mergeCell ref="P22:P27"/>
    <mergeCell ref="P28:P29"/>
    <mergeCell ref="P30:P31"/>
    <mergeCell ref="P32:P34"/>
    <mergeCell ref="P35:P37"/>
    <mergeCell ref="A39:A55"/>
    <mergeCell ref="C39:D39"/>
    <mergeCell ref="E39:F39"/>
    <mergeCell ref="P40:P41"/>
    <mergeCell ref="P42:P47"/>
    <mergeCell ref="P48:P49"/>
    <mergeCell ref="P50:P51"/>
    <mergeCell ref="P52:P53"/>
    <mergeCell ref="P54:P55"/>
    <mergeCell ref="A57:A73"/>
    <mergeCell ref="C57:D57"/>
    <mergeCell ref="E57:F57"/>
    <mergeCell ref="P58:P59"/>
    <mergeCell ref="P60:P65"/>
    <mergeCell ref="P66:P67"/>
    <mergeCell ref="P68:P69"/>
    <mergeCell ref="P70:P71"/>
    <mergeCell ref="P72:P73"/>
    <mergeCell ref="A75:A91"/>
    <mergeCell ref="C75:D75"/>
    <mergeCell ref="E75:F75"/>
    <mergeCell ref="P76:P77"/>
    <mergeCell ref="P78:P83"/>
    <mergeCell ref="P84:P85"/>
    <mergeCell ref="P86:P87"/>
    <mergeCell ref="P88:P89"/>
    <mergeCell ref="P90:P91"/>
    <mergeCell ref="A93:A109"/>
    <mergeCell ref="C93:D93"/>
    <mergeCell ref="E93:F93"/>
    <mergeCell ref="P94:P95"/>
    <mergeCell ref="P96:P101"/>
    <mergeCell ref="P102:P103"/>
    <mergeCell ref="P104:P105"/>
    <mergeCell ref="P106:P107"/>
    <mergeCell ref="P108:P109"/>
    <mergeCell ref="A111:A127"/>
    <mergeCell ref="C111:D111"/>
    <mergeCell ref="E111:F111"/>
    <mergeCell ref="P112:P113"/>
    <mergeCell ref="P114:P119"/>
    <mergeCell ref="P120:P121"/>
    <mergeCell ref="P122:P123"/>
    <mergeCell ref="P124:P125"/>
    <mergeCell ref="P126:P127"/>
    <mergeCell ref="A129:A145"/>
    <mergeCell ref="C129:D129"/>
    <mergeCell ref="E129:F129"/>
    <mergeCell ref="P130:P131"/>
    <mergeCell ref="P132:P137"/>
    <mergeCell ref="P138:P139"/>
    <mergeCell ref="P140:P141"/>
    <mergeCell ref="P142:P143"/>
    <mergeCell ref="P144:P145"/>
    <mergeCell ref="A147:A163"/>
    <mergeCell ref="C147:D147"/>
    <mergeCell ref="E147:F147"/>
    <mergeCell ref="P148:P149"/>
    <mergeCell ref="P150:P155"/>
    <mergeCell ref="P156:P157"/>
    <mergeCell ref="P158:P159"/>
    <mergeCell ref="P160:P161"/>
    <mergeCell ref="P162:P163"/>
    <mergeCell ref="A165:A169"/>
    <mergeCell ref="C165:D165"/>
    <mergeCell ref="E165:F165"/>
    <mergeCell ref="P167:P168"/>
  </mergeCells>
  <hyperlinks>
    <hyperlink ref="Q2" location="QINGDAO!A29" display="Drop off Vladivostok"/>
    <hyperlink ref="Q3" location="QINGDAO!A50" display="Drop off Moscow"/>
    <hyperlink ref="Q4" location="QINGDAO!A70" display="Drop off Novosibirsk"/>
    <hyperlink ref="Q5" location="QINGDAO!A86" display="Drop off Ekaterinburg"/>
    <hyperlink ref="Q6" location="QINGDAO!A104" display="Drop off Krasnoyarsk"/>
    <hyperlink ref="Q7" location="QINGDAO!A121" display="Drop off St.Petersburg"/>
    <hyperlink ref="Q8" location="QINGDAO!A141" display="Drop off Irkutsk"/>
    <hyperlink ref="Q9" location="QINGDAO!A158" display="Drop off Khabarovsk"/>
    <hyperlink ref="Q10" location="QINGDAO!A170" display="Drop off Minsk"/>
    <hyperlink ref="Q37" location="QINGDAO!R1C1" display="BACK"/>
    <hyperlink ref="Q55" location="QINGDAO!R1C1" display="BACK"/>
    <hyperlink ref="Q73" location="QINGDAO!R1C1" display="BACK"/>
    <hyperlink ref="Q91" location="QINGDAO!R1C1" display="BACK"/>
    <hyperlink ref="Q109" location="QINGDAO!R1C1" display="BACK"/>
    <hyperlink ref="Q127" location="QINGDAO!R1C1" display="BACK"/>
    <hyperlink ref="Q145" location="QINGDAO!R1C1" display="BACK"/>
    <hyperlink ref="Q163" location="QINGDAO!R1C1" display="BACK"/>
    <hyperlink ref="Q169" location="QINGDAO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19.13"/>
    <col collapsed="false" customWidth="true" hidden="false" outlineLevel="0" max="3" min="3" style="0" width="7.16"/>
    <col collapsed="false" customWidth="true" hidden="false" outlineLevel="0" max="4" min="4" style="0" width="5.12"/>
    <col collapsed="false" customWidth="true" hidden="false" outlineLevel="0" max="5" min="5" style="0" width="7.16"/>
    <col collapsed="false" customWidth="true" hidden="false" outlineLevel="0" max="6" min="6" style="0" width="5.12"/>
    <col collapsed="false" customWidth="true" hidden="false" outlineLevel="0" max="7" min="7" style="0" width="31.92"/>
    <col collapsed="false" customWidth="true" hidden="false" outlineLevel="0" max="8" min="8" style="0" width="25.19"/>
    <col collapsed="false" customWidth="true" hidden="false" outlineLevel="0" max="9" min="9" style="0" width="13.65"/>
    <col collapsed="false" customWidth="true" hidden="false" outlineLevel="0" max="10" min="10" style="0" width="6.88"/>
    <col collapsed="false" customWidth="true" hidden="false" outlineLevel="0" max="11" min="11" style="0" width="10.87"/>
    <col collapsed="false" customWidth="true" hidden="false" outlineLevel="0" max="12" min="12" style="0" width="8.83"/>
    <col collapsed="false" customWidth="true" hidden="false" outlineLevel="0" max="13" min="13" style="0" width="22.31"/>
    <col collapsed="false" customWidth="true" hidden="false" outlineLevel="0" max="14" min="14" style="0" width="19.63"/>
  </cols>
  <sheetData>
    <row r="1" s="31" customFormat="true" ht="17.45" hidden="false" customHeight="true" outlineLevel="0" collapsed="false">
      <c r="A1" s="2" t="s">
        <v>135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136</v>
      </c>
      <c r="N1" s="40" t="s">
        <v>12</v>
      </c>
    </row>
    <row r="2" s="31" customFormat="true" ht="50" hidden="false" customHeight="true" outlineLevel="0" collapsed="false">
      <c r="A2" s="2"/>
      <c r="B2" s="7" t="s">
        <v>21</v>
      </c>
      <c r="C2" s="8" t="n">
        <v>1190</v>
      </c>
      <c r="D2" s="8"/>
      <c r="E2" s="8" t="n">
        <v>1630</v>
      </c>
      <c r="F2" s="8"/>
      <c r="G2" s="9" t="s">
        <v>22</v>
      </c>
      <c r="H2" s="25" t="s">
        <v>137</v>
      </c>
      <c r="I2" s="10" t="s">
        <v>138</v>
      </c>
      <c r="J2" s="18" t="s">
        <v>139</v>
      </c>
      <c r="K2" s="9" t="s">
        <v>140</v>
      </c>
      <c r="L2" s="10" t="n">
        <v>46096</v>
      </c>
      <c r="M2" s="12" t="s">
        <v>25</v>
      </c>
      <c r="N2" s="41" t="s">
        <v>18</v>
      </c>
    </row>
    <row r="3" s="31" customFormat="true" ht="50" hidden="false" customHeight="true" outlineLevel="0" collapsed="false">
      <c r="A3" s="2"/>
      <c r="B3" s="14" t="s">
        <v>27</v>
      </c>
      <c r="C3" s="8" t="n">
        <v>1190</v>
      </c>
      <c r="D3" s="8"/>
      <c r="E3" s="8" t="n">
        <v>1630</v>
      </c>
      <c r="F3" s="8"/>
      <c r="G3" s="9" t="s">
        <v>22</v>
      </c>
      <c r="H3" s="25" t="s">
        <v>137</v>
      </c>
      <c r="I3" s="10" t="s">
        <v>138</v>
      </c>
      <c r="J3" s="18" t="s">
        <v>139</v>
      </c>
      <c r="K3" s="9" t="s">
        <v>140</v>
      </c>
      <c r="L3" s="10" t="n">
        <v>46096</v>
      </c>
      <c r="M3" s="12" t="s">
        <v>25</v>
      </c>
      <c r="N3" s="41" t="s">
        <v>20</v>
      </c>
    </row>
    <row r="4" s="31" customFormat="true" ht="42.75" hidden="false" customHeight="false" outlineLevel="0" collapsed="false">
      <c r="A4" s="2"/>
      <c r="B4" s="7" t="s">
        <v>29</v>
      </c>
      <c r="C4" s="8" t="n">
        <v>1420</v>
      </c>
      <c r="D4" s="8"/>
      <c r="E4" s="8" t="n">
        <v>2020</v>
      </c>
      <c r="F4" s="8"/>
      <c r="G4" s="9" t="s">
        <v>141</v>
      </c>
      <c r="H4" s="58" t="s">
        <v>142</v>
      </c>
      <c r="I4" s="58"/>
      <c r="J4" s="16" t="s">
        <v>95</v>
      </c>
      <c r="K4" s="9" t="s">
        <v>143</v>
      </c>
      <c r="L4" s="10" t="n">
        <v>46081</v>
      </c>
      <c r="M4" s="12" t="s">
        <v>33</v>
      </c>
      <c r="N4" s="41" t="s">
        <v>26</v>
      </c>
    </row>
    <row r="5" s="31" customFormat="true" ht="28.9" hidden="false" customHeight="false" outlineLevel="0" collapsed="false">
      <c r="A5" s="2"/>
      <c r="B5" s="7" t="s">
        <v>64</v>
      </c>
      <c r="C5" s="8" t="n">
        <v>1180</v>
      </c>
      <c r="D5" s="8"/>
      <c r="E5" s="8" t="n">
        <v>1505</v>
      </c>
      <c r="F5" s="8"/>
      <c r="G5" s="9" t="s">
        <v>61</v>
      </c>
      <c r="H5" s="10" t="s">
        <v>144</v>
      </c>
      <c r="I5" s="15" t="n">
        <v>46082</v>
      </c>
      <c r="J5" s="18" t="n">
        <v>9</v>
      </c>
      <c r="K5" s="9" t="s">
        <v>16</v>
      </c>
      <c r="L5" s="15" t="n">
        <v>46082</v>
      </c>
      <c r="M5" s="12" t="s">
        <v>63</v>
      </c>
      <c r="N5" s="41" t="s">
        <v>28</v>
      </c>
    </row>
    <row r="6" s="31" customFormat="true" ht="28.9" hidden="false" customHeight="false" outlineLevel="0" collapsed="false">
      <c r="A6" s="2"/>
      <c r="B6" s="7" t="s">
        <v>102</v>
      </c>
      <c r="C6" s="8" t="s">
        <v>30</v>
      </c>
      <c r="D6" s="8"/>
      <c r="E6" s="8" t="s">
        <v>30</v>
      </c>
      <c r="F6" s="8"/>
      <c r="G6" s="9" t="s">
        <v>61</v>
      </c>
      <c r="H6" s="10" t="s">
        <v>145</v>
      </c>
      <c r="I6" s="15" t="n">
        <v>46063</v>
      </c>
      <c r="J6" s="18" t="n">
        <v>9</v>
      </c>
      <c r="K6" s="9" t="s">
        <v>16</v>
      </c>
      <c r="L6" s="15" t="n">
        <v>46063</v>
      </c>
      <c r="M6" s="12" t="s">
        <v>63</v>
      </c>
      <c r="N6" s="41" t="s">
        <v>34</v>
      </c>
    </row>
    <row r="7" s="31" customFormat="true" ht="28.9" hidden="false" customHeight="false" outlineLevel="0" collapsed="false">
      <c r="A7" s="2"/>
      <c r="B7" s="7" t="s">
        <v>35</v>
      </c>
      <c r="C7" s="8" t="n">
        <v>1340</v>
      </c>
      <c r="D7" s="8"/>
      <c r="E7" s="8" t="n">
        <v>1730</v>
      </c>
      <c r="F7" s="8"/>
      <c r="G7" s="9" t="s">
        <v>22</v>
      </c>
      <c r="H7" s="25" t="s">
        <v>146</v>
      </c>
      <c r="I7" s="10" t="n">
        <v>46079</v>
      </c>
      <c r="J7" s="16" t="s">
        <v>95</v>
      </c>
      <c r="K7" s="9" t="s">
        <v>140</v>
      </c>
      <c r="L7" s="58" t="n">
        <v>46081</v>
      </c>
      <c r="M7" s="12" t="s">
        <v>41</v>
      </c>
      <c r="N7" s="41" t="s">
        <v>42</v>
      </c>
    </row>
    <row r="8" s="31" customFormat="true" ht="28.9" hidden="false" customHeight="false" outlineLevel="0" collapsed="false">
      <c r="A8" s="2"/>
      <c r="B8" s="7" t="s">
        <v>49</v>
      </c>
      <c r="C8" s="8" t="s">
        <v>30</v>
      </c>
      <c r="D8" s="8"/>
      <c r="E8" s="8" t="s">
        <v>30</v>
      </c>
      <c r="F8" s="8"/>
      <c r="G8" s="9" t="s">
        <v>50</v>
      </c>
      <c r="H8" s="10" t="s">
        <v>147</v>
      </c>
      <c r="I8" s="10" t="n">
        <v>46066</v>
      </c>
      <c r="J8" s="16" t="s">
        <v>148</v>
      </c>
      <c r="K8" s="9" t="s">
        <v>140</v>
      </c>
      <c r="L8" s="20" t="n">
        <v>46068</v>
      </c>
      <c r="M8" s="12" t="s">
        <v>52</v>
      </c>
    </row>
    <row r="9" s="31" customFormat="true" ht="28.9" hidden="false" customHeight="true" outlineLevel="0" collapsed="false">
      <c r="A9" s="2"/>
      <c r="B9" s="7" t="s">
        <v>43</v>
      </c>
      <c r="C9" s="8" t="s">
        <v>30</v>
      </c>
      <c r="D9" s="8"/>
      <c r="E9" s="8" t="s">
        <v>30</v>
      </c>
      <c r="F9" s="8"/>
      <c r="G9" s="9" t="s">
        <v>14</v>
      </c>
      <c r="H9" s="10" t="s">
        <v>30</v>
      </c>
      <c r="I9" s="10"/>
      <c r="J9" s="16" t="s">
        <v>95</v>
      </c>
      <c r="K9" s="9" t="s">
        <v>16</v>
      </c>
      <c r="L9" s="10" t="s">
        <v>30</v>
      </c>
      <c r="M9" s="12" t="s">
        <v>47</v>
      </c>
    </row>
    <row r="10" s="31" customFormat="true" ht="15.05" hidden="false" customHeight="false" outlineLevel="0" collapsed="false">
      <c r="A10" s="2"/>
      <c r="B10" s="7" t="s">
        <v>149</v>
      </c>
      <c r="C10" s="8" t="s">
        <v>30</v>
      </c>
      <c r="D10" s="8"/>
      <c r="E10" s="8" t="s">
        <v>30</v>
      </c>
      <c r="F10" s="8"/>
      <c r="G10" s="9" t="s">
        <v>150</v>
      </c>
      <c r="H10" s="25" t="s">
        <v>30</v>
      </c>
      <c r="I10" s="10" t="s">
        <v>30</v>
      </c>
      <c r="J10" s="18" t="n">
        <v>5</v>
      </c>
      <c r="K10" s="9" t="s">
        <v>16</v>
      </c>
      <c r="L10" s="10" t="n">
        <v>45966</v>
      </c>
      <c r="M10" s="12" t="s">
        <v>63</v>
      </c>
    </row>
    <row r="11" s="31" customFormat="true" ht="42.75" hidden="false" customHeight="false" outlineLevel="0" collapsed="false">
      <c r="A11" s="2"/>
      <c r="B11" s="7" t="s">
        <v>54</v>
      </c>
      <c r="C11" s="8" t="n">
        <v>1290</v>
      </c>
      <c r="D11" s="8"/>
      <c r="E11" s="8" t="n">
        <v>1530</v>
      </c>
      <c r="F11" s="8"/>
      <c r="G11" s="12" t="s">
        <v>151</v>
      </c>
      <c r="H11" s="10" t="s">
        <v>152</v>
      </c>
      <c r="I11" s="10" t="s">
        <v>153</v>
      </c>
      <c r="J11" s="18" t="n">
        <v>7</v>
      </c>
      <c r="K11" s="9" t="s">
        <v>16</v>
      </c>
      <c r="L11" s="10" t="n">
        <v>46096</v>
      </c>
      <c r="M11" s="12" t="s">
        <v>63</v>
      </c>
    </row>
    <row r="12" s="31" customFormat="true" ht="28.9" hidden="false" customHeight="false" outlineLevel="0" collapsed="false">
      <c r="A12" s="2"/>
      <c r="B12" s="7" t="s">
        <v>66</v>
      </c>
      <c r="C12" s="8" t="n">
        <v>1000</v>
      </c>
      <c r="D12" s="8"/>
      <c r="E12" s="8" t="n">
        <v>1500</v>
      </c>
      <c r="F12" s="8"/>
      <c r="G12" s="17" t="s">
        <v>67</v>
      </c>
      <c r="H12" s="10" t="s">
        <v>68</v>
      </c>
      <c r="I12" s="10" t="n">
        <v>46075</v>
      </c>
      <c r="J12" s="18" t="n">
        <v>8</v>
      </c>
      <c r="K12" s="9" t="s">
        <v>16</v>
      </c>
      <c r="L12" s="10" t="n">
        <v>46075</v>
      </c>
      <c r="M12" s="12" t="s">
        <v>63</v>
      </c>
    </row>
    <row r="14" s="31" customFormat="true" ht="15.05" hidden="false" customHeight="true" outlineLevel="0" collapsed="false">
      <c r="A14" s="2" t="s">
        <v>154</v>
      </c>
      <c r="B14" s="3" t="s">
        <v>1</v>
      </c>
      <c r="C14" s="4" t="s">
        <v>70</v>
      </c>
      <c r="D14" s="4"/>
      <c r="E14" s="4" t="s">
        <v>71</v>
      </c>
      <c r="F14" s="4"/>
      <c r="G14" s="4" t="s">
        <v>4</v>
      </c>
      <c r="H14" s="4" t="s">
        <v>5</v>
      </c>
      <c r="I14" s="4" t="s">
        <v>7</v>
      </c>
      <c r="J14" s="4" t="s">
        <v>8</v>
      </c>
      <c r="K14" s="4" t="s">
        <v>9</v>
      </c>
      <c r="L14" s="5" t="s">
        <v>10</v>
      </c>
      <c r="M14" s="4" t="s">
        <v>136</v>
      </c>
    </row>
    <row r="15" s="31" customFormat="true" ht="28.9" hidden="false" customHeight="false" outlineLevel="0" collapsed="false">
      <c r="A15" s="2"/>
      <c r="B15" s="7" t="s">
        <v>21</v>
      </c>
      <c r="C15" s="51" t="n">
        <v>1290</v>
      </c>
      <c r="D15" s="8" t="s">
        <v>72</v>
      </c>
      <c r="E15" s="51" t="n">
        <v>1830</v>
      </c>
      <c r="F15" s="8" t="s">
        <v>72</v>
      </c>
      <c r="G15" s="9" t="s">
        <v>22</v>
      </c>
      <c r="H15" s="25" t="s">
        <v>137</v>
      </c>
      <c r="I15" s="10" t="s">
        <v>138</v>
      </c>
      <c r="J15" s="18" t="s">
        <v>139</v>
      </c>
      <c r="K15" s="9" t="s">
        <v>140</v>
      </c>
      <c r="L15" s="10" t="n">
        <v>46096</v>
      </c>
      <c r="M15" s="12" t="s">
        <v>25</v>
      </c>
    </row>
    <row r="16" s="31" customFormat="true" ht="28.9" hidden="false" customHeight="false" outlineLevel="0" collapsed="false">
      <c r="A16" s="2"/>
      <c r="B16" s="14" t="s">
        <v>27</v>
      </c>
      <c r="C16" s="51" t="n">
        <v>1290</v>
      </c>
      <c r="D16" s="8" t="s">
        <v>72</v>
      </c>
      <c r="E16" s="51" t="n">
        <v>1830</v>
      </c>
      <c r="F16" s="8" t="s">
        <v>72</v>
      </c>
      <c r="G16" s="9" t="s">
        <v>22</v>
      </c>
      <c r="H16" s="25" t="s">
        <v>137</v>
      </c>
      <c r="I16" s="10" t="s">
        <v>138</v>
      </c>
      <c r="J16" s="18" t="s">
        <v>139</v>
      </c>
      <c r="K16" s="9" t="s">
        <v>140</v>
      </c>
      <c r="L16" s="10" t="n">
        <v>46096</v>
      </c>
      <c r="M16" s="12" t="s">
        <v>25</v>
      </c>
    </row>
    <row r="17" s="31" customFormat="true" ht="42.75" hidden="false" customHeight="false" outlineLevel="0" collapsed="false">
      <c r="A17" s="2"/>
      <c r="B17" s="7" t="s">
        <v>29</v>
      </c>
      <c r="C17" s="8" t="n">
        <v>1520</v>
      </c>
      <c r="D17" s="8" t="s">
        <v>72</v>
      </c>
      <c r="E17" s="8" t="n">
        <v>2420</v>
      </c>
      <c r="F17" s="8" t="s">
        <v>72</v>
      </c>
      <c r="G17" s="9" t="s">
        <v>141</v>
      </c>
      <c r="H17" s="58" t="s">
        <v>142</v>
      </c>
      <c r="I17" s="58"/>
      <c r="J17" s="16" t="s">
        <v>95</v>
      </c>
      <c r="K17" s="9" t="s">
        <v>143</v>
      </c>
      <c r="L17" s="10" t="n">
        <v>46081</v>
      </c>
      <c r="M17" s="12" t="s">
        <v>33</v>
      </c>
    </row>
    <row r="18" s="31" customFormat="true" ht="28.9" hidden="false" customHeight="false" outlineLevel="0" collapsed="false">
      <c r="A18" s="2"/>
      <c r="B18" s="7" t="s">
        <v>64</v>
      </c>
      <c r="C18" s="51" t="n">
        <v>1530</v>
      </c>
      <c r="D18" s="8" t="s">
        <v>72</v>
      </c>
      <c r="E18" s="44" t="n">
        <v>1955</v>
      </c>
      <c r="F18" s="8" t="s">
        <v>72</v>
      </c>
      <c r="G18" s="9" t="s">
        <v>61</v>
      </c>
      <c r="H18" s="10" t="str">
        <f aca="false">H5</f>
        <v>XIN XIN HAI 2
111N</v>
      </c>
      <c r="I18" s="15" t="n">
        <f aca="false">I5</f>
        <v>46082</v>
      </c>
      <c r="J18" s="18" t="n">
        <v>9</v>
      </c>
      <c r="K18" s="9" t="s">
        <v>16</v>
      </c>
      <c r="L18" s="15" t="n">
        <f aca="false">L5</f>
        <v>46082</v>
      </c>
      <c r="M18" s="12" t="s">
        <v>63</v>
      </c>
    </row>
    <row r="19" s="31" customFormat="true" ht="28.9" hidden="false" customHeight="false" outlineLevel="0" collapsed="false">
      <c r="A19" s="2"/>
      <c r="B19" s="7" t="s">
        <v>102</v>
      </c>
      <c r="C19" s="51" t="s">
        <v>30</v>
      </c>
      <c r="D19" s="8" t="s">
        <v>73</v>
      </c>
      <c r="E19" s="44" t="s">
        <v>30</v>
      </c>
      <c r="F19" s="8" t="s">
        <v>73</v>
      </c>
      <c r="G19" s="9" t="s">
        <v>61</v>
      </c>
      <c r="H19" s="10" t="s">
        <v>145</v>
      </c>
      <c r="I19" s="15" t="n">
        <v>46063</v>
      </c>
      <c r="J19" s="18" t="n">
        <v>9</v>
      </c>
      <c r="K19" s="9" t="s">
        <v>16</v>
      </c>
      <c r="L19" s="15" t="n">
        <v>46063</v>
      </c>
      <c r="M19" s="12" t="s">
        <v>63</v>
      </c>
    </row>
    <row r="20" s="31" customFormat="true" ht="28.9" hidden="false" customHeight="false" outlineLevel="0" collapsed="false">
      <c r="A20" s="2"/>
      <c r="B20" s="7" t="s">
        <v>35</v>
      </c>
      <c r="C20" s="51" t="n">
        <v>1440</v>
      </c>
      <c r="D20" s="8" t="s">
        <v>72</v>
      </c>
      <c r="E20" s="51" t="n">
        <v>1880</v>
      </c>
      <c r="F20" s="8" t="s">
        <v>72</v>
      </c>
      <c r="G20" s="9" t="s">
        <v>22</v>
      </c>
      <c r="H20" s="25" t="s">
        <v>146</v>
      </c>
      <c r="I20" s="10" t="n">
        <v>46079</v>
      </c>
      <c r="J20" s="16" t="s">
        <v>95</v>
      </c>
      <c r="K20" s="9" t="s">
        <v>140</v>
      </c>
      <c r="L20" s="58" t="n">
        <v>46081</v>
      </c>
      <c r="M20" s="12" t="s">
        <v>41</v>
      </c>
    </row>
    <row r="21" s="31" customFormat="true" ht="28.9" hidden="false" customHeight="false" outlineLevel="0" collapsed="false">
      <c r="A21" s="2"/>
      <c r="B21" s="7" t="s">
        <v>49</v>
      </c>
      <c r="C21" s="51" t="s">
        <v>30</v>
      </c>
      <c r="D21" s="51" t="s">
        <v>30</v>
      </c>
      <c r="E21" s="51" t="s">
        <v>30</v>
      </c>
      <c r="F21" s="44" t="s">
        <v>30</v>
      </c>
      <c r="G21" s="9" t="s">
        <v>50</v>
      </c>
      <c r="H21" s="10" t="s">
        <v>147</v>
      </c>
      <c r="I21" s="10" t="n">
        <v>46066</v>
      </c>
      <c r="J21" s="16" t="s">
        <v>148</v>
      </c>
      <c r="K21" s="9" t="s">
        <v>140</v>
      </c>
      <c r="L21" s="20" t="n">
        <v>46068</v>
      </c>
      <c r="M21" s="12" t="s">
        <v>52</v>
      </c>
    </row>
    <row r="22" s="31" customFormat="true" ht="28.9" hidden="false" customHeight="true" outlineLevel="0" collapsed="false">
      <c r="A22" s="2"/>
      <c r="B22" s="7" t="s">
        <v>43</v>
      </c>
      <c r="C22" s="51" t="s">
        <v>30</v>
      </c>
      <c r="D22" s="51" t="s">
        <v>30</v>
      </c>
      <c r="E22" s="51" t="s">
        <v>30</v>
      </c>
      <c r="F22" s="44" t="s">
        <v>30</v>
      </c>
      <c r="G22" s="9" t="s">
        <v>14</v>
      </c>
      <c r="H22" s="10" t="s">
        <v>30</v>
      </c>
      <c r="I22" s="10"/>
      <c r="J22" s="16" t="s">
        <v>95</v>
      </c>
      <c r="K22" s="9" t="s">
        <v>16</v>
      </c>
      <c r="L22" s="10" t="s">
        <v>30</v>
      </c>
      <c r="M22" s="12" t="s">
        <v>47</v>
      </c>
      <c r="N22" s="21" t="s">
        <v>75</v>
      </c>
    </row>
    <row r="23" s="31" customFormat="true" ht="15.05" hidden="false" customHeight="false" outlineLevel="0" collapsed="false">
      <c r="A23" s="2"/>
      <c r="B23" s="7" t="s">
        <v>149</v>
      </c>
      <c r="C23" s="51" t="s">
        <v>30</v>
      </c>
      <c r="D23" s="51" t="s">
        <v>30</v>
      </c>
      <c r="E23" s="51" t="s">
        <v>30</v>
      </c>
      <c r="F23" s="44" t="s">
        <v>30</v>
      </c>
      <c r="G23" s="9" t="s">
        <v>150</v>
      </c>
      <c r="H23" s="25" t="s">
        <v>30</v>
      </c>
      <c r="I23" s="10" t="s">
        <v>30</v>
      </c>
      <c r="J23" s="18" t="n">
        <v>5</v>
      </c>
      <c r="K23" s="9" t="s">
        <v>16</v>
      </c>
      <c r="L23" s="10" t="n">
        <v>45966</v>
      </c>
      <c r="M23" s="12" t="s">
        <v>63</v>
      </c>
    </row>
    <row r="24" s="31" customFormat="true" ht="28.9" hidden="false" customHeight="false" outlineLevel="0" collapsed="false">
      <c r="A24" s="2"/>
      <c r="B24" s="7" t="s">
        <v>54</v>
      </c>
      <c r="C24" s="59" t="n">
        <v>1590</v>
      </c>
      <c r="D24" s="8" t="s">
        <v>73</v>
      </c>
      <c r="E24" s="59" t="n">
        <v>2080</v>
      </c>
      <c r="F24" s="8" t="s">
        <v>73</v>
      </c>
      <c r="G24" s="12" t="s">
        <v>155</v>
      </c>
      <c r="H24" s="10" t="s">
        <v>125</v>
      </c>
      <c r="I24" s="10" t="n">
        <v>46088</v>
      </c>
      <c r="J24" s="18" t="n">
        <v>7</v>
      </c>
      <c r="K24" s="9" t="s">
        <v>16</v>
      </c>
      <c r="L24" s="10" t="n">
        <v>46096</v>
      </c>
      <c r="M24" s="12" t="s">
        <v>63</v>
      </c>
    </row>
    <row r="25" s="31" customFormat="true" ht="28.9" hidden="false" customHeight="false" outlineLevel="0" collapsed="false">
      <c r="A25" s="2"/>
      <c r="B25" s="7" t="s">
        <v>54</v>
      </c>
      <c r="C25" s="59" t="n">
        <v>1635</v>
      </c>
      <c r="D25" s="8" t="s">
        <v>73</v>
      </c>
      <c r="E25" s="59" t="n">
        <v>2020</v>
      </c>
      <c r="F25" s="8" t="s">
        <v>73</v>
      </c>
      <c r="G25" s="12" t="s">
        <v>74</v>
      </c>
      <c r="H25" s="10" t="s">
        <v>156</v>
      </c>
      <c r="I25" s="10" t="s">
        <v>157</v>
      </c>
      <c r="J25" s="18" t="n">
        <v>7</v>
      </c>
      <c r="K25" s="9" t="s">
        <v>16</v>
      </c>
      <c r="L25" s="10" t="n">
        <v>46096</v>
      </c>
      <c r="M25" s="12" t="s">
        <v>63</v>
      </c>
    </row>
    <row r="26" s="31" customFormat="true" ht="28.9" hidden="false" customHeight="false" outlineLevel="0" collapsed="false">
      <c r="A26" s="2"/>
      <c r="B26" s="7" t="s">
        <v>66</v>
      </c>
      <c r="C26" s="51" t="s">
        <v>30</v>
      </c>
      <c r="D26" s="8" t="s">
        <v>73</v>
      </c>
      <c r="E26" s="59" t="s">
        <v>30</v>
      </c>
      <c r="F26" s="59" t="s">
        <v>30</v>
      </c>
      <c r="G26" s="17" t="s">
        <v>67</v>
      </c>
      <c r="H26" s="10" t="s">
        <v>68</v>
      </c>
      <c r="I26" s="10" t="n">
        <v>46075</v>
      </c>
      <c r="J26" s="18" t="n">
        <v>8</v>
      </c>
      <c r="K26" s="9" t="s">
        <v>16</v>
      </c>
      <c r="L26" s="10" t="n">
        <v>46075</v>
      </c>
      <c r="M26" s="12" t="s">
        <v>63</v>
      </c>
    </row>
    <row r="28" s="31" customFormat="true" ht="15.05" hidden="false" customHeight="true" outlineLevel="0" collapsed="false">
      <c r="A28" s="2" t="s">
        <v>158</v>
      </c>
      <c r="B28" s="3" t="s">
        <v>1</v>
      </c>
      <c r="C28" s="4" t="s">
        <v>70</v>
      </c>
      <c r="D28" s="4"/>
      <c r="E28" s="4" t="s">
        <v>71</v>
      </c>
      <c r="F28" s="4"/>
      <c r="G28" s="4" t="s">
        <v>4</v>
      </c>
      <c r="H28" s="4" t="s">
        <v>5</v>
      </c>
      <c r="I28" s="4" t="s">
        <v>7</v>
      </c>
      <c r="J28" s="4" t="s">
        <v>8</v>
      </c>
      <c r="K28" s="4" t="s">
        <v>9</v>
      </c>
      <c r="L28" s="5" t="s">
        <v>10</v>
      </c>
      <c r="M28" s="4" t="s">
        <v>136</v>
      </c>
    </row>
    <row r="29" s="31" customFormat="true" ht="28.9" hidden="false" customHeight="false" outlineLevel="0" collapsed="false">
      <c r="A29" s="2"/>
      <c r="B29" s="7" t="s">
        <v>21</v>
      </c>
      <c r="C29" s="59" t="n">
        <v>1835</v>
      </c>
      <c r="D29" s="8" t="s">
        <v>73</v>
      </c>
      <c r="E29" s="51" t="n">
        <v>2880</v>
      </c>
      <c r="F29" s="8" t="s">
        <v>73</v>
      </c>
      <c r="G29" s="9" t="s">
        <v>22</v>
      </c>
      <c r="H29" s="25" t="s">
        <v>137</v>
      </c>
      <c r="I29" s="10" t="s">
        <v>138</v>
      </c>
      <c r="J29" s="18" t="s">
        <v>139</v>
      </c>
      <c r="K29" s="9" t="s">
        <v>140</v>
      </c>
      <c r="L29" s="10" t="n">
        <v>46096</v>
      </c>
      <c r="M29" s="12" t="s">
        <v>25</v>
      </c>
    </row>
    <row r="30" s="31" customFormat="true" ht="28.9" hidden="false" customHeight="false" outlineLevel="0" collapsed="false">
      <c r="A30" s="2"/>
      <c r="B30" s="14" t="s">
        <v>27</v>
      </c>
      <c r="C30" s="59" t="n">
        <v>1835</v>
      </c>
      <c r="D30" s="8" t="s">
        <v>73</v>
      </c>
      <c r="E30" s="51" t="n">
        <v>2880</v>
      </c>
      <c r="F30" s="8" t="s">
        <v>73</v>
      </c>
      <c r="G30" s="9" t="s">
        <v>22</v>
      </c>
      <c r="H30" s="25" t="s">
        <v>137</v>
      </c>
      <c r="I30" s="10" t="s">
        <v>138</v>
      </c>
      <c r="J30" s="18" t="s">
        <v>139</v>
      </c>
      <c r="K30" s="9" t="s">
        <v>140</v>
      </c>
      <c r="L30" s="10" t="n">
        <v>46096</v>
      </c>
      <c r="M30" s="12" t="s">
        <v>25</v>
      </c>
    </row>
    <row r="31" s="31" customFormat="true" ht="42.75" hidden="false" customHeight="false" outlineLevel="0" collapsed="false">
      <c r="A31" s="2"/>
      <c r="B31" s="7" t="s">
        <v>29</v>
      </c>
      <c r="C31" s="8" t="n">
        <v>2080</v>
      </c>
      <c r="D31" s="8" t="s">
        <v>73</v>
      </c>
      <c r="E31" s="8" t="n">
        <v>3270</v>
      </c>
      <c r="F31" s="8" t="s">
        <v>73</v>
      </c>
      <c r="G31" s="9" t="s">
        <v>141</v>
      </c>
      <c r="H31" s="58" t="s">
        <v>142</v>
      </c>
      <c r="I31" s="58"/>
      <c r="J31" s="16" t="s">
        <v>95</v>
      </c>
      <c r="K31" s="9" t="s">
        <v>143</v>
      </c>
      <c r="L31" s="10" t="n">
        <v>46081</v>
      </c>
      <c r="M31" s="12" t="s">
        <v>33</v>
      </c>
    </row>
    <row r="32" s="31" customFormat="true" ht="28.9" hidden="false" customHeight="false" outlineLevel="0" collapsed="false">
      <c r="A32" s="2"/>
      <c r="B32" s="7" t="s">
        <v>64</v>
      </c>
      <c r="C32" s="51" t="n">
        <v>1825</v>
      </c>
      <c r="D32" s="8" t="s">
        <v>73</v>
      </c>
      <c r="E32" s="44" t="n">
        <v>2755</v>
      </c>
      <c r="F32" s="8" t="s">
        <v>73</v>
      </c>
      <c r="G32" s="9" t="s">
        <v>61</v>
      </c>
      <c r="H32" s="10" t="str">
        <f aca="false">H5</f>
        <v>XIN XIN HAI 2
111N</v>
      </c>
      <c r="I32" s="15" t="n">
        <f aca="false">I5</f>
        <v>46082</v>
      </c>
      <c r="J32" s="18" t="n">
        <v>9</v>
      </c>
      <c r="K32" s="9" t="s">
        <v>16</v>
      </c>
      <c r="L32" s="15" t="n">
        <f aca="false">L5</f>
        <v>46082</v>
      </c>
      <c r="M32" s="12" t="s">
        <v>63</v>
      </c>
    </row>
    <row r="33" s="31" customFormat="true" ht="28.9" hidden="false" customHeight="false" outlineLevel="0" collapsed="false">
      <c r="A33" s="2"/>
      <c r="B33" s="7" t="s">
        <v>102</v>
      </c>
      <c r="C33" s="51" t="s">
        <v>30</v>
      </c>
      <c r="D33" s="8" t="s">
        <v>73</v>
      </c>
      <c r="E33" s="44" t="s">
        <v>30</v>
      </c>
      <c r="F33" s="8" t="s">
        <v>73</v>
      </c>
      <c r="G33" s="9" t="s">
        <v>61</v>
      </c>
      <c r="H33" s="10" t="s">
        <v>145</v>
      </c>
      <c r="I33" s="15" t="n">
        <v>46063</v>
      </c>
      <c r="J33" s="18" t="n">
        <v>9</v>
      </c>
      <c r="K33" s="9" t="s">
        <v>16</v>
      </c>
      <c r="L33" s="15" t="n">
        <v>46063</v>
      </c>
      <c r="M33" s="12" t="s">
        <v>63</v>
      </c>
    </row>
    <row r="34" s="31" customFormat="true" ht="28.9" hidden="false" customHeight="false" outlineLevel="0" collapsed="false">
      <c r="A34" s="2"/>
      <c r="B34" s="7" t="s">
        <v>35</v>
      </c>
      <c r="C34" s="59" t="n">
        <v>1985</v>
      </c>
      <c r="D34" s="8" t="s">
        <v>73</v>
      </c>
      <c r="E34" s="59" t="n">
        <v>2980</v>
      </c>
      <c r="F34" s="8" t="s">
        <v>73</v>
      </c>
      <c r="G34" s="9" t="s">
        <v>22</v>
      </c>
      <c r="H34" s="25" t="s">
        <v>146</v>
      </c>
      <c r="I34" s="10" t="n">
        <v>46079</v>
      </c>
      <c r="J34" s="16" t="s">
        <v>95</v>
      </c>
      <c r="K34" s="9" t="s">
        <v>140</v>
      </c>
      <c r="L34" s="58" t="n">
        <v>46081</v>
      </c>
      <c r="M34" s="12" t="s">
        <v>41</v>
      </c>
    </row>
    <row r="35" s="31" customFormat="true" ht="28.9" hidden="false" customHeight="false" outlineLevel="0" collapsed="false">
      <c r="A35" s="2"/>
      <c r="B35" s="7" t="s">
        <v>49</v>
      </c>
      <c r="C35" s="51" t="s">
        <v>30</v>
      </c>
      <c r="D35" s="51" t="s">
        <v>30</v>
      </c>
      <c r="E35" s="51" t="s">
        <v>30</v>
      </c>
      <c r="F35" s="51" t="s">
        <v>30</v>
      </c>
      <c r="G35" s="9" t="s">
        <v>50</v>
      </c>
      <c r="H35" s="10" t="s">
        <v>147</v>
      </c>
      <c r="I35" s="10" t="n">
        <v>46066</v>
      </c>
      <c r="J35" s="16" t="s">
        <v>148</v>
      </c>
      <c r="K35" s="9" t="s">
        <v>140</v>
      </c>
      <c r="L35" s="20" t="n">
        <v>46068</v>
      </c>
      <c r="M35" s="12" t="s">
        <v>52</v>
      </c>
    </row>
    <row r="36" s="31" customFormat="true" ht="28.9" hidden="false" customHeight="true" outlineLevel="0" collapsed="false">
      <c r="A36" s="2"/>
      <c r="B36" s="7" t="s">
        <v>43</v>
      </c>
      <c r="C36" s="51" t="s">
        <v>30</v>
      </c>
      <c r="D36" s="51" t="s">
        <v>30</v>
      </c>
      <c r="E36" s="51" t="s">
        <v>30</v>
      </c>
      <c r="F36" s="51" t="s">
        <v>30</v>
      </c>
      <c r="G36" s="9" t="s">
        <v>14</v>
      </c>
      <c r="H36" s="10" t="s">
        <v>30</v>
      </c>
      <c r="I36" s="10"/>
      <c r="J36" s="16" t="s">
        <v>95</v>
      </c>
      <c r="K36" s="9" t="s">
        <v>16</v>
      </c>
      <c r="L36" s="10" t="s">
        <v>30</v>
      </c>
      <c r="M36" s="12" t="s">
        <v>47</v>
      </c>
      <c r="N36" s="21" t="s">
        <v>75</v>
      </c>
    </row>
    <row r="37" s="31" customFormat="true" ht="15.05" hidden="false" customHeight="false" outlineLevel="0" collapsed="false">
      <c r="A37" s="2"/>
      <c r="B37" s="7" t="s">
        <v>149</v>
      </c>
      <c r="C37" s="51" t="s">
        <v>30</v>
      </c>
      <c r="D37" s="51" t="s">
        <v>30</v>
      </c>
      <c r="E37" s="51" t="s">
        <v>30</v>
      </c>
      <c r="F37" s="51" t="s">
        <v>30</v>
      </c>
      <c r="G37" s="9" t="s">
        <v>150</v>
      </c>
      <c r="H37" s="25" t="s">
        <v>30</v>
      </c>
      <c r="I37" s="10" t="s">
        <v>30</v>
      </c>
      <c r="J37" s="18" t="n">
        <v>5</v>
      </c>
      <c r="K37" s="9" t="s">
        <v>16</v>
      </c>
      <c r="L37" s="10" t="n">
        <v>45966</v>
      </c>
      <c r="M37" s="12" t="s">
        <v>63</v>
      </c>
    </row>
    <row r="38" s="31" customFormat="true" ht="42.75" hidden="false" customHeight="false" outlineLevel="0" collapsed="false">
      <c r="A38" s="2"/>
      <c r="B38" s="7" t="s">
        <v>54</v>
      </c>
      <c r="C38" s="59" t="n">
        <v>1935</v>
      </c>
      <c r="D38" s="8" t="s">
        <v>73</v>
      </c>
      <c r="E38" s="59" t="n">
        <v>2780</v>
      </c>
      <c r="F38" s="8" t="s">
        <v>73</v>
      </c>
      <c r="G38" s="12" t="s">
        <v>151</v>
      </c>
      <c r="H38" s="10" t="s">
        <v>152</v>
      </c>
      <c r="I38" s="10" t="s">
        <v>153</v>
      </c>
      <c r="J38" s="18" t="n">
        <v>7</v>
      </c>
      <c r="K38" s="9" t="s">
        <v>16</v>
      </c>
      <c r="L38" s="10" t="n">
        <v>46096</v>
      </c>
      <c r="M38" s="12" t="s">
        <v>63</v>
      </c>
    </row>
    <row r="39" s="31" customFormat="true" ht="28.9" hidden="false" customHeight="false" outlineLevel="0" collapsed="false">
      <c r="A39" s="2"/>
      <c r="B39" s="7" t="s">
        <v>66</v>
      </c>
      <c r="C39" s="59" t="n">
        <v>1630</v>
      </c>
      <c r="D39" s="8" t="s">
        <v>73</v>
      </c>
      <c r="E39" s="59" t="n">
        <v>2750</v>
      </c>
      <c r="F39" s="8" t="s">
        <v>73</v>
      </c>
      <c r="G39" s="17" t="s">
        <v>67</v>
      </c>
      <c r="H39" s="10" t="s">
        <v>68</v>
      </c>
      <c r="I39" s="10" t="n">
        <v>46075</v>
      </c>
      <c r="J39" s="18" t="n">
        <v>8</v>
      </c>
      <c r="K39" s="9" t="s">
        <v>16</v>
      </c>
      <c r="L39" s="10" t="n">
        <v>46075</v>
      </c>
      <c r="M39" s="12" t="s">
        <v>63</v>
      </c>
    </row>
    <row r="41" s="31" customFormat="true" ht="15.05" hidden="false" customHeight="true" outlineLevel="0" collapsed="false">
      <c r="A41" s="2" t="s">
        <v>159</v>
      </c>
      <c r="B41" s="3" t="s">
        <v>1</v>
      </c>
      <c r="C41" s="4" t="s">
        <v>70</v>
      </c>
      <c r="D41" s="4"/>
      <c r="E41" s="4" t="s">
        <v>71</v>
      </c>
      <c r="F41" s="4"/>
      <c r="G41" s="4" t="s">
        <v>4</v>
      </c>
      <c r="H41" s="4" t="s">
        <v>5</v>
      </c>
      <c r="I41" s="4" t="s">
        <v>7</v>
      </c>
      <c r="J41" s="4" t="s">
        <v>8</v>
      </c>
      <c r="K41" s="4" t="s">
        <v>9</v>
      </c>
      <c r="L41" s="5" t="s">
        <v>10</v>
      </c>
      <c r="M41" s="4" t="s">
        <v>136</v>
      </c>
    </row>
    <row r="42" s="31" customFormat="true" ht="28.9" hidden="false" customHeight="false" outlineLevel="0" collapsed="false">
      <c r="A42" s="2"/>
      <c r="B42" s="7" t="s">
        <v>21</v>
      </c>
      <c r="C42" s="51" t="n">
        <v>1635</v>
      </c>
      <c r="D42" s="8" t="s">
        <v>73</v>
      </c>
      <c r="E42" s="51" t="n">
        <v>2510</v>
      </c>
      <c r="F42" s="8" t="s">
        <v>73</v>
      </c>
      <c r="G42" s="9" t="s">
        <v>22</v>
      </c>
      <c r="H42" s="25" t="s">
        <v>137</v>
      </c>
      <c r="I42" s="10" t="s">
        <v>138</v>
      </c>
      <c r="J42" s="18" t="s">
        <v>139</v>
      </c>
      <c r="K42" s="9" t="s">
        <v>140</v>
      </c>
      <c r="L42" s="10" t="n">
        <v>46096</v>
      </c>
      <c r="M42" s="12" t="s">
        <v>25</v>
      </c>
    </row>
    <row r="43" s="31" customFormat="true" ht="28.9" hidden="false" customHeight="false" outlineLevel="0" collapsed="false">
      <c r="A43" s="2"/>
      <c r="B43" s="14" t="s">
        <v>27</v>
      </c>
      <c r="C43" s="51" t="n">
        <v>1635</v>
      </c>
      <c r="D43" s="8" t="s">
        <v>73</v>
      </c>
      <c r="E43" s="51" t="n">
        <v>2510</v>
      </c>
      <c r="F43" s="8" t="s">
        <v>73</v>
      </c>
      <c r="G43" s="9" t="s">
        <v>22</v>
      </c>
      <c r="H43" s="25" t="s">
        <v>137</v>
      </c>
      <c r="I43" s="10" t="s">
        <v>138</v>
      </c>
      <c r="J43" s="18" t="s">
        <v>139</v>
      </c>
      <c r="K43" s="9" t="s">
        <v>140</v>
      </c>
      <c r="L43" s="10" t="n">
        <v>46096</v>
      </c>
      <c r="M43" s="12" t="s">
        <v>25</v>
      </c>
    </row>
    <row r="44" s="31" customFormat="true" ht="42.75" hidden="false" customHeight="false" outlineLevel="0" collapsed="false">
      <c r="A44" s="2"/>
      <c r="B44" s="7" t="s">
        <v>29</v>
      </c>
      <c r="C44" s="8" t="n">
        <v>1880</v>
      </c>
      <c r="D44" s="8" t="s">
        <v>73</v>
      </c>
      <c r="E44" s="8" t="n">
        <v>2900</v>
      </c>
      <c r="F44" s="8" t="s">
        <v>73</v>
      </c>
      <c r="G44" s="9" t="s">
        <v>141</v>
      </c>
      <c r="H44" s="58" t="s">
        <v>142</v>
      </c>
      <c r="I44" s="58"/>
      <c r="J44" s="16" t="s">
        <v>95</v>
      </c>
      <c r="K44" s="9" t="s">
        <v>143</v>
      </c>
      <c r="L44" s="10" t="n">
        <v>46081</v>
      </c>
      <c r="M44" s="12" t="s">
        <v>33</v>
      </c>
    </row>
    <row r="45" s="31" customFormat="true" ht="28.9" hidden="false" customHeight="false" outlineLevel="0" collapsed="false">
      <c r="A45" s="2"/>
      <c r="B45" s="7" t="s">
        <v>64</v>
      </c>
      <c r="C45" s="51" t="n">
        <v>1625</v>
      </c>
      <c r="D45" s="8" t="s">
        <v>73</v>
      </c>
      <c r="E45" s="44" t="n">
        <v>2385</v>
      </c>
      <c r="F45" s="8" t="s">
        <v>73</v>
      </c>
      <c r="G45" s="9" t="s">
        <v>61</v>
      </c>
      <c r="H45" s="10" t="str">
        <f aca="false">H5</f>
        <v>XIN XIN HAI 2
111N</v>
      </c>
      <c r="I45" s="15" t="n">
        <f aca="false">I5</f>
        <v>46082</v>
      </c>
      <c r="J45" s="18" t="n">
        <v>9</v>
      </c>
      <c r="K45" s="9" t="s">
        <v>16</v>
      </c>
      <c r="L45" s="15" t="n">
        <f aca="false">L5</f>
        <v>46082</v>
      </c>
      <c r="M45" s="12" t="s">
        <v>63</v>
      </c>
    </row>
    <row r="46" s="31" customFormat="true" ht="28.9" hidden="false" customHeight="false" outlineLevel="0" collapsed="false">
      <c r="A46" s="2"/>
      <c r="B46" s="7" t="s">
        <v>102</v>
      </c>
      <c r="C46" s="51" t="s">
        <v>30</v>
      </c>
      <c r="D46" s="8" t="s">
        <v>73</v>
      </c>
      <c r="E46" s="44" t="s">
        <v>30</v>
      </c>
      <c r="F46" s="8" t="s">
        <v>73</v>
      </c>
      <c r="G46" s="9" t="s">
        <v>61</v>
      </c>
      <c r="H46" s="10" t="s">
        <v>145</v>
      </c>
      <c r="I46" s="15" t="n">
        <v>46063</v>
      </c>
      <c r="J46" s="18" t="n">
        <v>9</v>
      </c>
      <c r="K46" s="9" t="s">
        <v>16</v>
      </c>
      <c r="L46" s="15" t="n">
        <v>46063</v>
      </c>
      <c r="M46" s="12" t="s">
        <v>63</v>
      </c>
    </row>
    <row r="47" s="31" customFormat="true" ht="28.9" hidden="false" customHeight="false" outlineLevel="0" collapsed="false">
      <c r="A47" s="2"/>
      <c r="B47" s="7" t="s">
        <v>35</v>
      </c>
      <c r="C47" s="59" t="n">
        <v>1785</v>
      </c>
      <c r="D47" s="8" t="s">
        <v>73</v>
      </c>
      <c r="E47" s="59" t="n">
        <v>2610</v>
      </c>
      <c r="F47" s="8" t="s">
        <v>73</v>
      </c>
      <c r="G47" s="9" t="s">
        <v>22</v>
      </c>
      <c r="H47" s="25" t="s">
        <v>146</v>
      </c>
      <c r="I47" s="10" t="n">
        <v>46079</v>
      </c>
      <c r="J47" s="16" t="s">
        <v>95</v>
      </c>
      <c r="K47" s="9" t="s">
        <v>140</v>
      </c>
      <c r="L47" s="58" t="n">
        <v>46081</v>
      </c>
      <c r="M47" s="12" t="s">
        <v>41</v>
      </c>
    </row>
    <row r="48" s="31" customFormat="true" ht="28.9" hidden="false" customHeight="false" outlineLevel="0" collapsed="false">
      <c r="A48" s="2"/>
      <c r="B48" s="7" t="s">
        <v>49</v>
      </c>
      <c r="C48" s="51" t="s">
        <v>30</v>
      </c>
      <c r="D48" s="51" t="s">
        <v>30</v>
      </c>
      <c r="E48" s="51" t="s">
        <v>30</v>
      </c>
      <c r="F48" s="51" t="s">
        <v>30</v>
      </c>
      <c r="G48" s="9" t="s">
        <v>50</v>
      </c>
      <c r="H48" s="10" t="s">
        <v>147</v>
      </c>
      <c r="I48" s="10" t="n">
        <v>46066</v>
      </c>
      <c r="J48" s="16" t="s">
        <v>148</v>
      </c>
      <c r="K48" s="9" t="s">
        <v>140</v>
      </c>
      <c r="L48" s="20" t="n">
        <v>46068</v>
      </c>
      <c r="M48" s="12" t="s">
        <v>52</v>
      </c>
    </row>
    <row r="49" s="31" customFormat="true" ht="28.9" hidden="false" customHeight="true" outlineLevel="0" collapsed="false">
      <c r="A49" s="2"/>
      <c r="B49" s="7" t="s">
        <v>43</v>
      </c>
      <c r="C49" s="51" t="s">
        <v>30</v>
      </c>
      <c r="D49" s="51" t="s">
        <v>30</v>
      </c>
      <c r="E49" s="51" t="s">
        <v>30</v>
      </c>
      <c r="F49" s="51" t="s">
        <v>30</v>
      </c>
      <c r="G49" s="9" t="s">
        <v>14</v>
      </c>
      <c r="H49" s="10" t="s">
        <v>30</v>
      </c>
      <c r="I49" s="10"/>
      <c r="J49" s="16" t="s">
        <v>95</v>
      </c>
      <c r="K49" s="9" t="s">
        <v>16</v>
      </c>
      <c r="L49" s="10" t="s">
        <v>30</v>
      </c>
      <c r="M49" s="12" t="s">
        <v>47</v>
      </c>
      <c r="N49" s="21" t="s">
        <v>75</v>
      </c>
    </row>
    <row r="50" s="31" customFormat="true" ht="15.05" hidden="false" customHeight="false" outlineLevel="0" collapsed="false">
      <c r="A50" s="2"/>
      <c r="B50" s="7" t="s">
        <v>149</v>
      </c>
      <c r="C50" s="51" t="s">
        <v>30</v>
      </c>
      <c r="D50" s="51" t="s">
        <v>30</v>
      </c>
      <c r="E50" s="51" t="s">
        <v>30</v>
      </c>
      <c r="F50" s="51" t="s">
        <v>30</v>
      </c>
      <c r="G50" s="9" t="s">
        <v>150</v>
      </c>
      <c r="H50" s="25" t="s">
        <v>30</v>
      </c>
      <c r="I50" s="10" t="s">
        <v>30</v>
      </c>
      <c r="J50" s="18" t="n">
        <v>5</v>
      </c>
      <c r="K50" s="9" t="s">
        <v>16</v>
      </c>
      <c r="L50" s="10" t="n">
        <v>45966</v>
      </c>
      <c r="M50" s="12" t="s">
        <v>63</v>
      </c>
    </row>
    <row r="51" s="31" customFormat="true" ht="42.75" hidden="false" customHeight="false" outlineLevel="0" collapsed="false">
      <c r="A51" s="2"/>
      <c r="B51" s="7" t="s">
        <v>54</v>
      </c>
      <c r="C51" s="59" t="n">
        <v>1735</v>
      </c>
      <c r="D51" s="8" t="s">
        <v>73</v>
      </c>
      <c r="E51" s="59" t="n">
        <v>2410</v>
      </c>
      <c r="F51" s="8" t="s">
        <v>73</v>
      </c>
      <c r="G51" s="12" t="s">
        <v>151</v>
      </c>
      <c r="H51" s="10" t="s">
        <v>152</v>
      </c>
      <c r="I51" s="10" t="s">
        <v>153</v>
      </c>
      <c r="J51" s="18" t="n">
        <v>7</v>
      </c>
      <c r="K51" s="9" t="s">
        <v>16</v>
      </c>
      <c r="L51" s="10" t="n">
        <v>46096</v>
      </c>
      <c r="M51" s="12" t="s">
        <v>63</v>
      </c>
    </row>
    <row r="52" s="31" customFormat="true" ht="28.9" hidden="false" customHeight="false" outlineLevel="0" collapsed="false">
      <c r="A52" s="2"/>
      <c r="B52" s="7" t="s">
        <v>66</v>
      </c>
      <c r="C52" s="51" t="n">
        <v>1430</v>
      </c>
      <c r="D52" s="8" t="s">
        <v>73</v>
      </c>
      <c r="E52" s="59" t="n">
        <v>2380</v>
      </c>
      <c r="F52" s="8" t="s">
        <v>73</v>
      </c>
      <c r="G52" s="17" t="s">
        <v>67</v>
      </c>
      <c r="H52" s="10" t="s">
        <v>68</v>
      </c>
      <c r="I52" s="10" t="n">
        <v>46075</v>
      </c>
      <c r="J52" s="18" t="n">
        <v>8</v>
      </c>
      <c r="K52" s="9" t="s">
        <v>16</v>
      </c>
      <c r="L52" s="10" t="n">
        <v>46075</v>
      </c>
      <c r="M52" s="12" t="s">
        <v>63</v>
      </c>
    </row>
    <row r="54" s="31" customFormat="true" ht="15.05" hidden="false" customHeight="true" outlineLevel="0" collapsed="false">
      <c r="A54" s="2" t="s">
        <v>160</v>
      </c>
      <c r="B54" s="3" t="s">
        <v>1</v>
      </c>
      <c r="C54" s="4" t="s">
        <v>70</v>
      </c>
      <c r="D54" s="4"/>
      <c r="E54" s="4" t="s">
        <v>71</v>
      </c>
      <c r="F54" s="4"/>
      <c r="G54" s="4" t="s">
        <v>4</v>
      </c>
      <c r="H54" s="4" t="s">
        <v>5</v>
      </c>
      <c r="I54" s="4" t="s">
        <v>7</v>
      </c>
      <c r="J54" s="4" t="s">
        <v>8</v>
      </c>
      <c r="K54" s="4" t="s">
        <v>9</v>
      </c>
      <c r="L54" s="5" t="s">
        <v>10</v>
      </c>
      <c r="M54" s="4" t="s">
        <v>136</v>
      </c>
    </row>
    <row r="55" s="31" customFormat="true" ht="28.9" hidden="false" customHeight="false" outlineLevel="0" collapsed="false">
      <c r="A55" s="2"/>
      <c r="B55" s="7" t="s">
        <v>21</v>
      </c>
      <c r="C55" s="51" t="n">
        <v>1730</v>
      </c>
      <c r="D55" s="8" t="s">
        <v>73</v>
      </c>
      <c r="E55" s="59" t="n">
        <v>2580</v>
      </c>
      <c r="F55" s="8" t="s">
        <v>73</v>
      </c>
      <c r="G55" s="9" t="s">
        <v>22</v>
      </c>
      <c r="H55" s="25" t="s">
        <v>137</v>
      </c>
      <c r="I55" s="10" t="s">
        <v>138</v>
      </c>
      <c r="J55" s="18" t="s">
        <v>139</v>
      </c>
      <c r="K55" s="9" t="s">
        <v>140</v>
      </c>
      <c r="L55" s="10" t="n">
        <v>46096</v>
      </c>
      <c r="M55" s="12" t="s">
        <v>25</v>
      </c>
    </row>
    <row r="56" s="31" customFormat="true" ht="28.9" hidden="false" customHeight="false" outlineLevel="0" collapsed="false">
      <c r="A56" s="2"/>
      <c r="B56" s="14" t="s">
        <v>27</v>
      </c>
      <c r="C56" s="51" t="n">
        <v>1730</v>
      </c>
      <c r="D56" s="8" t="s">
        <v>73</v>
      </c>
      <c r="E56" s="59" t="n">
        <v>2580</v>
      </c>
      <c r="F56" s="8" t="s">
        <v>73</v>
      </c>
      <c r="G56" s="9" t="s">
        <v>22</v>
      </c>
      <c r="H56" s="25" t="s">
        <v>137</v>
      </c>
      <c r="I56" s="10" t="s">
        <v>138</v>
      </c>
      <c r="J56" s="18" t="s">
        <v>139</v>
      </c>
      <c r="K56" s="9" t="s">
        <v>140</v>
      </c>
      <c r="L56" s="10" t="n">
        <v>46096</v>
      </c>
      <c r="M56" s="12" t="s">
        <v>25</v>
      </c>
    </row>
    <row r="57" s="31" customFormat="true" ht="42.75" hidden="false" customHeight="false" outlineLevel="0" collapsed="false">
      <c r="A57" s="2"/>
      <c r="B57" s="7" t="s">
        <v>29</v>
      </c>
      <c r="C57" s="8" t="n">
        <v>1975</v>
      </c>
      <c r="D57" s="8" t="s">
        <v>73</v>
      </c>
      <c r="E57" s="8" t="n">
        <v>3000</v>
      </c>
      <c r="F57" s="8" t="s">
        <v>73</v>
      </c>
      <c r="G57" s="9" t="s">
        <v>141</v>
      </c>
      <c r="H57" s="58" t="s">
        <v>142</v>
      </c>
      <c r="I57" s="58"/>
      <c r="J57" s="16" t="s">
        <v>95</v>
      </c>
      <c r="K57" s="9" t="s">
        <v>143</v>
      </c>
      <c r="L57" s="10" t="n">
        <v>46081</v>
      </c>
      <c r="M57" s="12" t="s">
        <v>33</v>
      </c>
    </row>
    <row r="58" s="31" customFormat="true" ht="28.9" hidden="false" customHeight="false" outlineLevel="0" collapsed="false">
      <c r="A58" s="2"/>
      <c r="B58" s="7" t="s">
        <v>64</v>
      </c>
      <c r="C58" s="51" t="n">
        <v>1720</v>
      </c>
      <c r="D58" s="8" t="s">
        <v>73</v>
      </c>
      <c r="E58" s="44" t="n">
        <v>2435</v>
      </c>
      <c r="F58" s="8" t="s">
        <v>73</v>
      </c>
      <c r="G58" s="9" t="s">
        <v>61</v>
      </c>
      <c r="H58" s="10" t="str">
        <f aca="false">H5</f>
        <v>XIN XIN HAI 2
111N</v>
      </c>
      <c r="I58" s="15" t="n">
        <f aca="false">I5</f>
        <v>46082</v>
      </c>
      <c r="J58" s="18" t="n">
        <v>9</v>
      </c>
      <c r="K58" s="9" t="s">
        <v>16</v>
      </c>
      <c r="L58" s="15" t="n">
        <f aca="false">L5</f>
        <v>46082</v>
      </c>
      <c r="M58" s="12" t="s">
        <v>63</v>
      </c>
    </row>
    <row r="59" s="31" customFormat="true" ht="28.9" hidden="false" customHeight="false" outlineLevel="0" collapsed="false">
      <c r="A59" s="2"/>
      <c r="B59" s="7" t="s">
        <v>102</v>
      </c>
      <c r="C59" s="51" t="s">
        <v>30</v>
      </c>
      <c r="D59" s="8" t="s">
        <v>73</v>
      </c>
      <c r="E59" s="44" t="s">
        <v>30</v>
      </c>
      <c r="F59" s="8" t="s">
        <v>73</v>
      </c>
      <c r="G59" s="9" t="s">
        <v>61</v>
      </c>
      <c r="H59" s="10" t="s">
        <v>145</v>
      </c>
      <c r="I59" s="15" t="n">
        <v>46063</v>
      </c>
      <c r="J59" s="18" t="n">
        <v>9</v>
      </c>
      <c r="K59" s="9" t="s">
        <v>16</v>
      </c>
      <c r="L59" s="15" t="n">
        <v>46063</v>
      </c>
      <c r="M59" s="12" t="s">
        <v>63</v>
      </c>
    </row>
    <row r="60" s="31" customFormat="true" ht="28.9" hidden="false" customHeight="false" outlineLevel="0" collapsed="false">
      <c r="A60" s="2"/>
      <c r="B60" s="7" t="s">
        <v>35</v>
      </c>
      <c r="C60" s="59" t="n">
        <v>1880</v>
      </c>
      <c r="D60" s="8" t="s">
        <v>73</v>
      </c>
      <c r="E60" s="59" t="n">
        <v>2680</v>
      </c>
      <c r="F60" s="8" t="s">
        <v>73</v>
      </c>
      <c r="G60" s="9" t="s">
        <v>22</v>
      </c>
      <c r="H60" s="25" t="s">
        <v>146</v>
      </c>
      <c r="I60" s="10" t="n">
        <v>46079</v>
      </c>
      <c r="J60" s="16" t="s">
        <v>95</v>
      </c>
      <c r="K60" s="9" t="s">
        <v>140</v>
      </c>
      <c r="L60" s="58" t="n">
        <v>46081</v>
      </c>
      <c r="M60" s="12" t="s">
        <v>41</v>
      </c>
    </row>
    <row r="61" s="31" customFormat="true" ht="28.9" hidden="false" customHeight="false" outlineLevel="0" collapsed="false">
      <c r="A61" s="2"/>
      <c r="B61" s="7" t="s">
        <v>49</v>
      </c>
      <c r="C61" s="51" t="s">
        <v>30</v>
      </c>
      <c r="D61" s="51" t="s">
        <v>30</v>
      </c>
      <c r="E61" s="51" t="s">
        <v>30</v>
      </c>
      <c r="F61" s="51" t="s">
        <v>30</v>
      </c>
      <c r="G61" s="9" t="s">
        <v>50</v>
      </c>
      <c r="H61" s="10" t="s">
        <v>147</v>
      </c>
      <c r="I61" s="10" t="n">
        <v>46066</v>
      </c>
      <c r="J61" s="16" t="s">
        <v>148</v>
      </c>
      <c r="K61" s="9" t="s">
        <v>140</v>
      </c>
      <c r="L61" s="20" t="n">
        <v>46068</v>
      </c>
      <c r="M61" s="12" t="s">
        <v>52</v>
      </c>
    </row>
    <row r="62" s="31" customFormat="true" ht="28.9" hidden="false" customHeight="true" outlineLevel="0" collapsed="false">
      <c r="A62" s="2"/>
      <c r="B62" s="7" t="s">
        <v>43</v>
      </c>
      <c r="C62" s="51" t="s">
        <v>30</v>
      </c>
      <c r="D62" s="51" t="s">
        <v>30</v>
      </c>
      <c r="E62" s="51" t="s">
        <v>30</v>
      </c>
      <c r="F62" s="51" t="s">
        <v>30</v>
      </c>
      <c r="G62" s="9" t="s">
        <v>14</v>
      </c>
      <c r="H62" s="10" t="s">
        <v>30</v>
      </c>
      <c r="I62" s="10"/>
      <c r="J62" s="16" t="s">
        <v>95</v>
      </c>
      <c r="K62" s="9" t="s">
        <v>16</v>
      </c>
      <c r="L62" s="10" t="s">
        <v>30</v>
      </c>
      <c r="M62" s="12" t="s">
        <v>47</v>
      </c>
      <c r="N62" s="21" t="s">
        <v>75</v>
      </c>
    </row>
    <row r="63" s="31" customFormat="true" ht="15.05" hidden="false" customHeight="false" outlineLevel="0" collapsed="false">
      <c r="A63" s="2"/>
      <c r="B63" s="7" t="s">
        <v>149</v>
      </c>
      <c r="C63" s="51" t="s">
        <v>30</v>
      </c>
      <c r="D63" s="51" t="s">
        <v>30</v>
      </c>
      <c r="E63" s="51" t="s">
        <v>30</v>
      </c>
      <c r="F63" s="51" t="s">
        <v>30</v>
      </c>
      <c r="G63" s="9" t="s">
        <v>150</v>
      </c>
      <c r="H63" s="25" t="s">
        <v>30</v>
      </c>
      <c r="I63" s="10" t="s">
        <v>30</v>
      </c>
      <c r="J63" s="18" t="n">
        <v>5</v>
      </c>
      <c r="K63" s="9" t="s">
        <v>16</v>
      </c>
      <c r="L63" s="10" t="n">
        <v>45966</v>
      </c>
      <c r="M63" s="12" t="s">
        <v>63</v>
      </c>
    </row>
    <row r="64" s="31" customFormat="true" ht="42.75" hidden="false" customHeight="false" outlineLevel="0" collapsed="false">
      <c r="A64" s="2"/>
      <c r="B64" s="7" t="s">
        <v>54</v>
      </c>
      <c r="C64" s="59" t="n">
        <v>1830</v>
      </c>
      <c r="D64" s="8" t="s">
        <v>73</v>
      </c>
      <c r="E64" s="59" t="n">
        <v>2460</v>
      </c>
      <c r="F64" s="8" t="s">
        <v>73</v>
      </c>
      <c r="G64" s="12" t="s">
        <v>151</v>
      </c>
      <c r="H64" s="10" t="s">
        <v>152</v>
      </c>
      <c r="I64" s="10" t="s">
        <v>153</v>
      </c>
      <c r="J64" s="18" t="n">
        <v>7</v>
      </c>
      <c r="K64" s="9" t="s">
        <v>16</v>
      </c>
      <c r="L64" s="10" t="n">
        <v>46096</v>
      </c>
      <c r="M64" s="12" t="s">
        <v>63</v>
      </c>
    </row>
    <row r="65" s="31" customFormat="true" ht="28.9" hidden="false" customHeight="false" outlineLevel="0" collapsed="false">
      <c r="A65" s="2"/>
      <c r="B65" s="7" t="s">
        <v>66</v>
      </c>
      <c r="C65" s="51" t="n">
        <v>1525</v>
      </c>
      <c r="D65" s="8" t="s">
        <v>73</v>
      </c>
      <c r="E65" s="51" t="n">
        <v>2430</v>
      </c>
      <c r="F65" s="8" t="s">
        <v>73</v>
      </c>
      <c r="G65" s="17" t="s">
        <v>67</v>
      </c>
      <c r="H65" s="10" t="s">
        <v>68</v>
      </c>
      <c r="I65" s="10" t="n">
        <v>46075</v>
      </c>
      <c r="J65" s="18" t="n">
        <v>8</v>
      </c>
      <c r="K65" s="9" t="s">
        <v>16</v>
      </c>
      <c r="L65" s="10" t="n">
        <v>46075</v>
      </c>
      <c r="M65" s="12" t="s">
        <v>63</v>
      </c>
    </row>
    <row r="67" s="31" customFormat="true" ht="15.05" hidden="false" customHeight="true" outlineLevel="0" collapsed="false">
      <c r="A67" s="2" t="s">
        <v>161</v>
      </c>
      <c r="B67" s="3" t="s">
        <v>1</v>
      </c>
      <c r="C67" s="4" t="s">
        <v>70</v>
      </c>
      <c r="D67" s="4"/>
      <c r="E67" s="4" t="s">
        <v>71</v>
      </c>
      <c r="F67" s="4"/>
      <c r="G67" s="4" t="s">
        <v>4</v>
      </c>
      <c r="H67" s="4" t="s">
        <v>5</v>
      </c>
      <c r="I67" s="4" t="s">
        <v>7</v>
      </c>
      <c r="J67" s="4" t="s">
        <v>8</v>
      </c>
      <c r="K67" s="4" t="s">
        <v>9</v>
      </c>
      <c r="L67" s="5" t="s">
        <v>10</v>
      </c>
      <c r="M67" s="4" t="s">
        <v>136</v>
      </c>
    </row>
    <row r="68" s="31" customFormat="true" ht="28.9" hidden="false" customHeight="false" outlineLevel="0" collapsed="false">
      <c r="A68" s="2"/>
      <c r="B68" s="7" t="s">
        <v>21</v>
      </c>
      <c r="C68" s="59" t="n">
        <v>1390</v>
      </c>
      <c r="D68" s="8" t="s">
        <v>72</v>
      </c>
      <c r="E68" s="51" t="n">
        <v>2030</v>
      </c>
      <c r="F68" s="8" t="s">
        <v>73</v>
      </c>
      <c r="G68" s="9" t="s">
        <v>22</v>
      </c>
      <c r="H68" s="25" t="s">
        <v>137</v>
      </c>
      <c r="I68" s="10" t="s">
        <v>138</v>
      </c>
      <c r="J68" s="18" t="s">
        <v>139</v>
      </c>
      <c r="K68" s="9" t="s">
        <v>140</v>
      </c>
      <c r="L68" s="10" t="n">
        <v>46096</v>
      </c>
      <c r="M68" s="12" t="s">
        <v>25</v>
      </c>
    </row>
    <row r="69" s="31" customFormat="true" ht="28.9" hidden="false" customHeight="false" outlineLevel="0" collapsed="false">
      <c r="A69" s="2"/>
      <c r="B69" s="14" t="s">
        <v>27</v>
      </c>
      <c r="C69" s="59" t="n">
        <v>1390</v>
      </c>
      <c r="D69" s="8" t="s">
        <v>72</v>
      </c>
      <c r="E69" s="51" t="n">
        <v>2030</v>
      </c>
      <c r="F69" s="8" t="s">
        <v>73</v>
      </c>
      <c r="G69" s="9" t="s">
        <v>22</v>
      </c>
      <c r="H69" s="25" t="s">
        <v>137</v>
      </c>
      <c r="I69" s="10" t="s">
        <v>138</v>
      </c>
      <c r="J69" s="18" t="s">
        <v>139</v>
      </c>
      <c r="K69" s="9" t="s">
        <v>140</v>
      </c>
      <c r="L69" s="10" t="n">
        <v>46096</v>
      </c>
      <c r="M69" s="12" t="s">
        <v>25</v>
      </c>
    </row>
    <row r="70" s="31" customFormat="true" ht="42.75" hidden="false" customHeight="false" outlineLevel="0" collapsed="false">
      <c r="A70" s="2"/>
      <c r="B70" s="7" t="s">
        <v>29</v>
      </c>
      <c r="C70" s="8" t="n">
        <v>1650</v>
      </c>
      <c r="D70" s="8" t="s">
        <v>73</v>
      </c>
      <c r="E70" s="8" t="n">
        <v>2520</v>
      </c>
      <c r="F70" s="8" t="s">
        <v>73</v>
      </c>
      <c r="G70" s="9" t="s">
        <v>141</v>
      </c>
      <c r="H70" s="58" t="s">
        <v>142</v>
      </c>
      <c r="I70" s="58"/>
      <c r="J70" s="16" t="s">
        <v>95</v>
      </c>
      <c r="K70" s="9" t="s">
        <v>143</v>
      </c>
      <c r="L70" s="10" t="n">
        <v>46081</v>
      </c>
      <c r="M70" s="12" t="s">
        <v>33</v>
      </c>
    </row>
    <row r="71" s="31" customFormat="true" ht="28.9" hidden="false" customHeight="false" outlineLevel="0" collapsed="false">
      <c r="A71" s="2"/>
      <c r="B71" s="7" t="s">
        <v>64</v>
      </c>
      <c r="C71" s="51" t="n">
        <v>1395</v>
      </c>
      <c r="D71" s="8" t="s">
        <v>73</v>
      </c>
      <c r="E71" s="44" t="n">
        <v>1955</v>
      </c>
      <c r="F71" s="8" t="s">
        <v>73</v>
      </c>
      <c r="G71" s="9" t="s">
        <v>61</v>
      </c>
      <c r="H71" s="10" t="str">
        <f aca="false">H5</f>
        <v>XIN XIN HAI 2
111N</v>
      </c>
      <c r="I71" s="15" t="n">
        <f aca="false">I5</f>
        <v>46082</v>
      </c>
      <c r="J71" s="18" t="n">
        <v>9</v>
      </c>
      <c r="K71" s="9" t="s">
        <v>16</v>
      </c>
      <c r="L71" s="15" t="n">
        <f aca="false">L5</f>
        <v>46082</v>
      </c>
      <c r="M71" s="12" t="s">
        <v>63</v>
      </c>
    </row>
    <row r="72" s="31" customFormat="true" ht="28.9" hidden="false" customHeight="false" outlineLevel="0" collapsed="false">
      <c r="A72" s="2"/>
      <c r="B72" s="7" t="s">
        <v>102</v>
      </c>
      <c r="C72" s="51" t="s">
        <v>30</v>
      </c>
      <c r="D72" s="8" t="s">
        <v>73</v>
      </c>
      <c r="E72" s="44" t="s">
        <v>30</v>
      </c>
      <c r="F72" s="8" t="s">
        <v>73</v>
      </c>
      <c r="G72" s="9" t="s">
        <v>61</v>
      </c>
      <c r="H72" s="10" t="s">
        <v>145</v>
      </c>
      <c r="I72" s="15" t="n">
        <v>46063</v>
      </c>
      <c r="J72" s="18" t="n">
        <v>9</v>
      </c>
      <c r="K72" s="9" t="s">
        <v>16</v>
      </c>
      <c r="L72" s="15" t="n">
        <v>46063</v>
      </c>
      <c r="M72" s="12" t="s">
        <v>63</v>
      </c>
    </row>
    <row r="73" s="31" customFormat="true" ht="28.9" hidden="false" customHeight="false" outlineLevel="0" collapsed="false">
      <c r="A73" s="2"/>
      <c r="B73" s="7" t="s">
        <v>35</v>
      </c>
      <c r="C73" s="59" t="n">
        <v>1555</v>
      </c>
      <c r="D73" s="8" t="s">
        <v>73</v>
      </c>
      <c r="E73" s="51" t="n">
        <v>2080</v>
      </c>
      <c r="F73" s="8" t="s">
        <v>72</v>
      </c>
      <c r="G73" s="9" t="s">
        <v>22</v>
      </c>
      <c r="H73" s="25" t="s">
        <v>146</v>
      </c>
      <c r="I73" s="10" t="n">
        <v>46079</v>
      </c>
      <c r="J73" s="16" t="s">
        <v>95</v>
      </c>
      <c r="K73" s="9" t="s">
        <v>140</v>
      </c>
      <c r="L73" s="58" t="n">
        <v>46081</v>
      </c>
      <c r="M73" s="12" t="s">
        <v>41</v>
      </c>
    </row>
    <row r="74" s="31" customFormat="true" ht="28.9" hidden="false" customHeight="false" outlineLevel="0" collapsed="false">
      <c r="A74" s="2"/>
      <c r="B74" s="7" t="s">
        <v>49</v>
      </c>
      <c r="C74" s="51" t="s">
        <v>30</v>
      </c>
      <c r="D74" s="51" t="s">
        <v>30</v>
      </c>
      <c r="E74" s="51" t="s">
        <v>30</v>
      </c>
      <c r="F74" s="51" t="s">
        <v>30</v>
      </c>
      <c r="G74" s="9" t="s">
        <v>50</v>
      </c>
      <c r="H74" s="10" t="s">
        <v>147</v>
      </c>
      <c r="I74" s="10" t="n">
        <v>46066</v>
      </c>
      <c r="J74" s="16" t="s">
        <v>148</v>
      </c>
      <c r="K74" s="9" t="s">
        <v>140</v>
      </c>
      <c r="L74" s="20" t="n">
        <v>46068</v>
      </c>
      <c r="M74" s="12" t="s">
        <v>52</v>
      </c>
    </row>
    <row r="75" s="31" customFormat="true" ht="28.9" hidden="false" customHeight="true" outlineLevel="0" collapsed="false">
      <c r="A75" s="2"/>
      <c r="B75" s="7" t="s">
        <v>43</v>
      </c>
      <c r="C75" s="51" t="s">
        <v>30</v>
      </c>
      <c r="D75" s="51" t="s">
        <v>30</v>
      </c>
      <c r="E75" s="51" t="s">
        <v>30</v>
      </c>
      <c r="F75" s="51" t="s">
        <v>30</v>
      </c>
      <c r="G75" s="9" t="s">
        <v>14</v>
      </c>
      <c r="H75" s="10" t="s">
        <v>30</v>
      </c>
      <c r="I75" s="10"/>
      <c r="J75" s="16" t="s">
        <v>95</v>
      </c>
      <c r="K75" s="9" t="s">
        <v>16</v>
      </c>
      <c r="L75" s="10" t="s">
        <v>30</v>
      </c>
      <c r="M75" s="12" t="s">
        <v>47</v>
      </c>
      <c r="N75" s="21" t="s">
        <v>75</v>
      </c>
    </row>
    <row r="76" s="31" customFormat="true" ht="15.05" hidden="false" customHeight="false" outlineLevel="0" collapsed="false">
      <c r="A76" s="2"/>
      <c r="B76" s="7" t="s">
        <v>149</v>
      </c>
      <c r="C76" s="51" t="s">
        <v>30</v>
      </c>
      <c r="D76" s="51" t="s">
        <v>30</v>
      </c>
      <c r="E76" s="51" t="s">
        <v>30</v>
      </c>
      <c r="F76" s="51" t="s">
        <v>30</v>
      </c>
      <c r="G76" s="9" t="s">
        <v>150</v>
      </c>
      <c r="H76" s="25" t="s">
        <v>30</v>
      </c>
      <c r="I76" s="10" t="s">
        <v>30</v>
      </c>
      <c r="J76" s="18" t="n">
        <v>5</v>
      </c>
      <c r="K76" s="9" t="s">
        <v>16</v>
      </c>
      <c r="L76" s="10" t="n">
        <v>45966</v>
      </c>
      <c r="M76" s="12" t="s">
        <v>63</v>
      </c>
    </row>
    <row r="77" s="31" customFormat="true" ht="42.75" hidden="false" customHeight="false" outlineLevel="0" collapsed="false">
      <c r="A77" s="2"/>
      <c r="B77" s="7" t="s">
        <v>54</v>
      </c>
      <c r="C77" s="59" t="n">
        <v>1505</v>
      </c>
      <c r="D77" s="8" t="s">
        <v>73</v>
      </c>
      <c r="E77" s="59" t="n">
        <v>1980</v>
      </c>
      <c r="F77" s="8" t="s">
        <v>73</v>
      </c>
      <c r="G77" s="12" t="s">
        <v>151</v>
      </c>
      <c r="H77" s="10" t="s">
        <v>152</v>
      </c>
      <c r="I77" s="10" t="s">
        <v>153</v>
      </c>
      <c r="J77" s="18" t="n">
        <v>7</v>
      </c>
      <c r="K77" s="9" t="s">
        <v>16</v>
      </c>
      <c r="L77" s="10" t="n">
        <v>46096</v>
      </c>
      <c r="M77" s="12" t="s">
        <v>63</v>
      </c>
    </row>
    <row r="78" s="31" customFormat="true" ht="28.9" hidden="false" customHeight="false" outlineLevel="0" collapsed="false">
      <c r="A78" s="2"/>
      <c r="B78" s="7" t="s">
        <v>66</v>
      </c>
      <c r="C78" s="59" t="n">
        <v>1200</v>
      </c>
      <c r="D78" s="8" t="s">
        <v>73</v>
      </c>
      <c r="E78" s="59" t="n">
        <v>1950</v>
      </c>
      <c r="F78" s="8" t="s">
        <v>73</v>
      </c>
      <c r="G78" s="17" t="s">
        <v>67</v>
      </c>
      <c r="H78" s="10" t="s">
        <v>68</v>
      </c>
      <c r="I78" s="10" t="n">
        <v>46075</v>
      </c>
      <c r="J78" s="18" t="n">
        <v>8</v>
      </c>
      <c r="K78" s="9" t="s">
        <v>16</v>
      </c>
      <c r="L78" s="10" t="n">
        <v>46075</v>
      </c>
      <c r="M78" s="12" t="s">
        <v>63</v>
      </c>
    </row>
    <row r="80" s="31" customFormat="true" ht="15.05" hidden="false" customHeight="true" outlineLevel="0" collapsed="false">
      <c r="A80" s="2" t="s">
        <v>162</v>
      </c>
      <c r="B80" s="3" t="s">
        <v>1</v>
      </c>
      <c r="C80" s="4" t="s">
        <v>70</v>
      </c>
      <c r="D80" s="4"/>
      <c r="E80" s="4" t="s">
        <v>71</v>
      </c>
      <c r="F80" s="4"/>
      <c r="G80" s="4" t="s">
        <v>4</v>
      </c>
      <c r="H80" s="4" t="s">
        <v>5</v>
      </c>
      <c r="I80" s="4" t="s">
        <v>7</v>
      </c>
      <c r="J80" s="4" t="s">
        <v>8</v>
      </c>
      <c r="K80" s="4" t="s">
        <v>9</v>
      </c>
      <c r="L80" s="5" t="s">
        <v>10</v>
      </c>
      <c r="M80" s="4" t="s">
        <v>136</v>
      </c>
    </row>
    <row r="81" s="31" customFormat="true" ht="28.9" hidden="false" customHeight="false" outlineLevel="0" collapsed="false">
      <c r="A81" s="2"/>
      <c r="B81" s="7" t="s">
        <v>21</v>
      </c>
      <c r="C81" s="51" t="n">
        <v>1590</v>
      </c>
      <c r="D81" s="8" t="s">
        <v>72</v>
      </c>
      <c r="E81" s="51" t="n">
        <v>2530</v>
      </c>
      <c r="F81" s="8" t="s">
        <v>72</v>
      </c>
      <c r="G81" s="9" t="s">
        <v>22</v>
      </c>
      <c r="H81" s="25" t="s">
        <v>137</v>
      </c>
      <c r="I81" s="10" t="s">
        <v>138</v>
      </c>
      <c r="J81" s="18" t="s">
        <v>139</v>
      </c>
      <c r="K81" s="9" t="s">
        <v>140</v>
      </c>
      <c r="L81" s="10" t="n">
        <v>46096</v>
      </c>
      <c r="M81" s="12" t="s">
        <v>25</v>
      </c>
    </row>
    <row r="82" s="31" customFormat="true" ht="28.9" hidden="false" customHeight="false" outlineLevel="0" collapsed="false">
      <c r="A82" s="2"/>
      <c r="B82" s="14" t="s">
        <v>27</v>
      </c>
      <c r="C82" s="51" t="n">
        <v>1590</v>
      </c>
      <c r="D82" s="8" t="s">
        <v>72</v>
      </c>
      <c r="E82" s="51" t="n">
        <v>2530</v>
      </c>
      <c r="F82" s="8" t="s">
        <v>72</v>
      </c>
      <c r="G82" s="9" t="s">
        <v>22</v>
      </c>
      <c r="H82" s="25" t="s">
        <v>137</v>
      </c>
      <c r="I82" s="10" t="s">
        <v>138</v>
      </c>
      <c r="J82" s="18" t="s">
        <v>139</v>
      </c>
      <c r="K82" s="9" t="s">
        <v>140</v>
      </c>
      <c r="L82" s="10" t="n">
        <v>46096</v>
      </c>
      <c r="M82" s="12" t="s">
        <v>25</v>
      </c>
    </row>
    <row r="83" s="31" customFormat="true" ht="42.75" hidden="false" customHeight="false" outlineLevel="0" collapsed="false">
      <c r="A83" s="2"/>
      <c r="B83" s="7" t="s">
        <v>29</v>
      </c>
      <c r="C83" s="8" t="n">
        <v>1950</v>
      </c>
      <c r="D83" s="8" t="s">
        <v>73</v>
      </c>
      <c r="E83" s="8" t="n">
        <v>2950</v>
      </c>
      <c r="F83" s="8" t="s">
        <v>73</v>
      </c>
      <c r="G83" s="9" t="s">
        <v>141</v>
      </c>
      <c r="H83" s="58" t="s">
        <v>142</v>
      </c>
      <c r="I83" s="58"/>
      <c r="J83" s="16" t="s">
        <v>95</v>
      </c>
      <c r="K83" s="9" t="s">
        <v>143</v>
      </c>
      <c r="L83" s="10" t="n">
        <v>46081</v>
      </c>
      <c r="M83" s="12" t="s">
        <v>33</v>
      </c>
    </row>
    <row r="84" s="31" customFormat="true" ht="28.9" hidden="false" customHeight="false" outlineLevel="0" collapsed="false">
      <c r="A84" s="2"/>
      <c r="B84" s="7" t="s">
        <v>64</v>
      </c>
      <c r="C84" s="51" t="n">
        <v>1675</v>
      </c>
      <c r="D84" s="8" t="s">
        <v>73</v>
      </c>
      <c r="E84" s="44" t="n">
        <v>2435</v>
      </c>
      <c r="F84" s="8" t="s">
        <v>73</v>
      </c>
      <c r="G84" s="9" t="s">
        <v>61</v>
      </c>
      <c r="H84" s="10" t="str">
        <f aca="false">H5</f>
        <v>XIN XIN HAI 2
111N</v>
      </c>
      <c r="I84" s="15" t="n">
        <f aca="false">I5</f>
        <v>46082</v>
      </c>
      <c r="J84" s="18" t="n">
        <v>9</v>
      </c>
      <c r="K84" s="9" t="s">
        <v>16</v>
      </c>
      <c r="L84" s="15" t="n">
        <f aca="false">L5</f>
        <v>46082</v>
      </c>
      <c r="M84" s="12" t="s">
        <v>63</v>
      </c>
    </row>
    <row r="85" s="31" customFormat="true" ht="28.9" hidden="false" customHeight="false" outlineLevel="0" collapsed="false">
      <c r="A85" s="2"/>
      <c r="B85" s="7" t="s">
        <v>102</v>
      </c>
      <c r="C85" s="51" t="s">
        <v>30</v>
      </c>
      <c r="D85" s="8" t="s">
        <v>73</v>
      </c>
      <c r="E85" s="44" t="s">
        <v>30</v>
      </c>
      <c r="F85" s="8" t="s">
        <v>73</v>
      </c>
      <c r="G85" s="9" t="s">
        <v>61</v>
      </c>
      <c r="H85" s="10" t="s">
        <v>145</v>
      </c>
      <c r="I85" s="15" t="n">
        <v>46063</v>
      </c>
      <c r="J85" s="18" t="n">
        <v>9</v>
      </c>
      <c r="K85" s="9" t="s">
        <v>16</v>
      </c>
      <c r="L85" s="15" t="n">
        <v>46063</v>
      </c>
      <c r="M85" s="12" t="s">
        <v>63</v>
      </c>
    </row>
    <row r="86" s="31" customFormat="true" ht="28.9" hidden="false" customHeight="false" outlineLevel="0" collapsed="false">
      <c r="A86" s="2"/>
      <c r="B86" s="7" t="s">
        <v>35</v>
      </c>
      <c r="C86" s="59" t="n">
        <v>1855</v>
      </c>
      <c r="D86" s="8" t="s">
        <v>73</v>
      </c>
      <c r="E86" s="59" t="n">
        <v>2660</v>
      </c>
      <c r="F86" s="8" t="s">
        <v>73</v>
      </c>
      <c r="G86" s="9" t="s">
        <v>22</v>
      </c>
      <c r="H86" s="25" t="s">
        <v>146</v>
      </c>
      <c r="I86" s="10" t="n">
        <v>46079</v>
      </c>
      <c r="J86" s="16" t="s">
        <v>95</v>
      </c>
      <c r="K86" s="9" t="s">
        <v>140</v>
      </c>
      <c r="L86" s="58" t="n">
        <v>46081</v>
      </c>
      <c r="M86" s="12" t="s">
        <v>41</v>
      </c>
    </row>
    <row r="87" s="31" customFormat="true" ht="28.9" hidden="false" customHeight="false" outlineLevel="0" collapsed="false">
      <c r="A87" s="2"/>
      <c r="B87" s="7" t="s">
        <v>49</v>
      </c>
      <c r="C87" s="51" t="s">
        <v>30</v>
      </c>
      <c r="D87" s="51" t="s">
        <v>30</v>
      </c>
      <c r="E87" s="51" t="s">
        <v>30</v>
      </c>
      <c r="F87" s="51" t="s">
        <v>30</v>
      </c>
      <c r="G87" s="9" t="s">
        <v>50</v>
      </c>
      <c r="H87" s="10" t="s">
        <v>147</v>
      </c>
      <c r="I87" s="10" t="n">
        <v>46066</v>
      </c>
      <c r="J87" s="16" t="s">
        <v>148</v>
      </c>
      <c r="K87" s="9" t="s">
        <v>140</v>
      </c>
      <c r="L87" s="20" t="n">
        <v>46068</v>
      </c>
      <c r="M87" s="12" t="s">
        <v>52</v>
      </c>
    </row>
    <row r="88" s="31" customFormat="true" ht="28.9" hidden="false" customHeight="true" outlineLevel="0" collapsed="false">
      <c r="A88" s="2"/>
      <c r="B88" s="7" t="s">
        <v>43</v>
      </c>
      <c r="C88" s="51" t="s">
        <v>30</v>
      </c>
      <c r="D88" s="51" t="s">
        <v>30</v>
      </c>
      <c r="E88" s="51" t="s">
        <v>30</v>
      </c>
      <c r="F88" s="51" t="s">
        <v>30</v>
      </c>
      <c r="G88" s="9" t="s">
        <v>14</v>
      </c>
      <c r="H88" s="10" t="s">
        <v>30</v>
      </c>
      <c r="I88" s="10"/>
      <c r="J88" s="16" t="s">
        <v>95</v>
      </c>
      <c r="K88" s="9" t="s">
        <v>16</v>
      </c>
      <c r="L88" s="10" t="s">
        <v>30</v>
      </c>
      <c r="M88" s="12" t="s">
        <v>47</v>
      </c>
      <c r="N88" s="21" t="s">
        <v>75</v>
      </c>
    </row>
    <row r="89" s="31" customFormat="true" ht="15.05" hidden="false" customHeight="false" outlineLevel="0" collapsed="false">
      <c r="A89" s="2"/>
      <c r="B89" s="7" t="s">
        <v>149</v>
      </c>
      <c r="C89" s="51" t="s">
        <v>30</v>
      </c>
      <c r="D89" s="51" t="s">
        <v>30</v>
      </c>
      <c r="E89" s="51" t="s">
        <v>30</v>
      </c>
      <c r="F89" s="51" t="s">
        <v>30</v>
      </c>
      <c r="G89" s="9" t="s">
        <v>150</v>
      </c>
      <c r="H89" s="25" t="s">
        <v>30</v>
      </c>
      <c r="I89" s="10" t="s">
        <v>30</v>
      </c>
      <c r="J89" s="18" t="n">
        <v>5</v>
      </c>
      <c r="K89" s="9" t="s">
        <v>16</v>
      </c>
      <c r="L89" s="10" t="n">
        <v>45966</v>
      </c>
      <c r="M89" s="12" t="s">
        <v>63</v>
      </c>
    </row>
    <row r="90" s="31" customFormat="true" ht="42.75" hidden="false" customHeight="false" outlineLevel="0" collapsed="false">
      <c r="A90" s="2"/>
      <c r="B90" s="7" t="s">
        <v>54</v>
      </c>
      <c r="C90" s="59" t="n">
        <v>1785</v>
      </c>
      <c r="D90" s="8" t="s">
        <v>73</v>
      </c>
      <c r="E90" s="59" t="n">
        <v>2460</v>
      </c>
      <c r="F90" s="8" t="s">
        <v>73</v>
      </c>
      <c r="G90" s="12" t="s">
        <v>151</v>
      </c>
      <c r="H90" s="10" t="s">
        <v>152</v>
      </c>
      <c r="I90" s="10" t="s">
        <v>153</v>
      </c>
      <c r="J90" s="18" t="n">
        <v>7</v>
      </c>
      <c r="K90" s="9" t="s">
        <v>16</v>
      </c>
      <c r="L90" s="10" t="n">
        <v>46096</v>
      </c>
      <c r="M90" s="12" t="s">
        <v>63</v>
      </c>
    </row>
    <row r="91" s="31" customFormat="true" ht="28.9" hidden="false" customHeight="false" outlineLevel="0" collapsed="false">
      <c r="A91" s="2"/>
      <c r="B91" s="7" t="s">
        <v>66</v>
      </c>
      <c r="C91" s="51" t="n">
        <v>1480</v>
      </c>
      <c r="D91" s="8" t="s">
        <v>73</v>
      </c>
      <c r="E91" s="59" t="n">
        <v>2430</v>
      </c>
      <c r="F91" s="8" t="s">
        <v>73</v>
      </c>
      <c r="G91" s="17" t="s">
        <v>67</v>
      </c>
      <c r="H91" s="10" t="s">
        <v>68</v>
      </c>
      <c r="I91" s="10" t="n">
        <v>46075</v>
      </c>
      <c r="J91" s="18" t="n">
        <v>8</v>
      </c>
      <c r="K91" s="9" t="s">
        <v>16</v>
      </c>
      <c r="L91" s="10" t="n">
        <v>46075</v>
      </c>
      <c r="M91" s="12" t="s">
        <v>63</v>
      </c>
    </row>
    <row r="93" s="31" customFormat="true" ht="15" hidden="false" customHeight="false" outlineLevel="0" collapsed="false">
      <c r="A93" s="36" t="s">
        <v>84</v>
      </c>
    </row>
    <row r="94" s="31" customFormat="true" ht="15" hidden="false" customHeight="false" outlineLevel="0" collapsed="false">
      <c r="A94" s="37" t="s">
        <v>85</v>
      </c>
    </row>
    <row r="95" s="31" customFormat="true" ht="15" hidden="false" customHeight="false" outlineLevel="0" collapsed="false">
      <c r="A95" s="37" t="s">
        <v>86</v>
      </c>
    </row>
    <row r="96" s="31" customFormat="true" ht="13.5" hidden="false" customHeight="false" outlineLevel="0" collapsed="false"/>
    <row r="97" s="31" customFormat="true" ht="22.05" hidden="false" customHeight="false" outlineLevel="0" collapsed="false">
      <c r="L97" s="38" t="s">
        <v>87</v>
      </c>
    </row>
  </sheetData>
  <autoFilter ref="A1:N91"/>
  <mergeCells count="57">
    <mergeCell ref="A1:A12"/>
    <mergeCell ref="C1:D1"/>
    <mergeCell ref="E1:F1"/>
    <mergeCell ref="C2:D2"/>
    <mergeCell ref="E2:F2"/>
    <mergeCell ref="C3:D3"/>
    <mergeCell ref="E3:F3"/>
    <mergeCell ref="C4:D4"/>
    <mergeCell ref="E4:F4"/>
    <mergeCell ref="H4:I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H9:I9"/>
    <mergeCell ref="C10:D10"/>
    <mergeCell ref="E10:F10"/>
    <mergeCell ref="C11:D11"/>
    <mergeCell ref="E11:F11"/>
    <mergeCell ref="C12:D12"/>
    <mergeCell ref="E12:F12"/>
    <mergeCell ref="A14:A26"/>
    <mergeCell ref="C14:D14"/>
    <mergeCell ref="E14:F14"/>
    <mergeCell ref="H17:I17"/>
    <mergeCell ref="H22:I22"/>
    <mergeCell ref="A28:A39"/>
    <mergeCell ref="C28:D28"/>
    <mergeCell ref="E28:F28"/>
    <mergeCell ref="H31:I31"/>
    <mergeCell ref="H36:I36"/>
    <mergeCell ref="A41:A52"/>
    <mergeCell ref="C41:D41"/>
    <mergeCell ref="E41:F41"/>
    <mergeCell ref="H44:I44"/>
    <mergeCell ref="H49:I49"/>
    <mergeCell ref="A54:A65"/>
    <mergeCell ref="C54:D54"/>
    <mergeCell ref="E54:F54"/>
    <mergeCell ref="H57:I57"/>
    <mergeCell ref="H62:I62"/>
    <mergeCell ref="A67:A78"/>
    <mergeCell ref="C67:D67"/>
    <mergeCell ref="E67:F67"/>
    <mergeCell ref="H70:I70"/>
    <mergeCell ref="H75:I75"/>
    <mergeCell ref="A80:A91"/>
    <mergeCell ref="C80:D80"/>
    <mergeCell ref="E80:F80"/>
    <mergeCell ref="H83:I83"/>
    <mergeCell ref="H88:I88"/>
  </mergeCells>
  <hyperlinks>
    <hyperlink ref="N2" location="TIANJIN!R23C1" display="Drop off Vladivostok"/>
    <hyperlink ref="N3" location="TIANJIN!R35C1" display="Drop off Moscow"/>
    <hyperlink ref="N4" location="TIANJIN!R47C1" display="Drop off Novosibirsk"/>
    <hyperlink ref="N5" location="TIANJIN!A65" display="Drop off Ekaterinburg"/>
    <hyperlink ref="N6" location="TIANJIN!A65" display="Drop off Krasnoyarsk"/>
    <hyperlink ref="N7" location="TIANJIN!A91" display="Drop off St.Petersburg"/>
    <hyperlink ref="N22" location="TIANJIN!R1C1" display="BACK"/>
    <hyperlink ref="N36" location="TIANJIN!R1C1" display="BACK"/>
    <hyperlink ref="N49" location="TIANJIN!R1C1" display="BACK"/>
    <hyperlink ref="N62" location="TIANJIN!R1C1" display="BACK"/>
    <hyperlink ref="N75" location="TIANJIN!R1C1" display="BACK"/>
    <hyperlink ref="N88" location="TIANJIN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20"/>
    <col collapsed="false" customWidth="true" hidden="false" outlineLevel="0" max="3" min="3" style="0" width="7.13"/>
    <col collapsed="false" customWidth="true" hidden="false" outlineLevel="0" max="4" min="4" style="0" width="5.12"/>
    <col collapsed="false" customWidth="true" hidden="false" outlineLevel="0" max="5" min="5" style="0" width="7.13"/>
    <col collapsed="false" customWidth="true" hidden="false" outlineLevel="0" max="6" min="6" style="0" width="5.12"/>
    <col collapsed="false" customWidth="true" hidden="false" outlineLevel="0" max="7" min="7" style="0" width="27.79"/>
    <col collapsed="false" customWidth="true" hidden="false" outlineLevel="0" max="8" min="8" style="0" width="24.52"/>
    <col collapsed="false" customWidth="true" hidden="false" outlineLevel="0" max="9" min="9" style="0" width="8.27"/>
    <col collapsed="false" customWidth="true" hidden="false" outlineLevel="0" max="10" min="10" style="0" width="8.17"/>
    <col collapsed="false" customWidth="true" hidden="false" outlineLevel="0" max="11" min="11" style="0" width="13.12"/>
    <col collapsed="false" customWidth="true" hidden="false" outlineLevel="0" max="12" min="12" style="0" width="9.12"/>
    <col collapsed="false" customWidth="true" hidden="false" outlineLevel="0" max="13" min="13" style="0" width="19.42"/>
    <col collapsed="false" customWidth="true" hidden="false" outlineLevel="0" max="14" min="14" style="0" width="17.12"/>
  </cols>
  <sheetData>
    <row r="1" customFormat="false" ht="17.45" hidden="false" customHeight="true" outlineLevel="0" collapsed="false">
      <c r="A1" s="2" t="s">
        <v>163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40" t="s">
        <v>12</v>
      </c>
    </row>
    <row r="2" customFormat="false" ht="28.9" hidden="false" customHeight="false" outlineLevel="0" collapsed="false">
      <c r="A2" s="2"/>
      <c r="B2" s="7" t="s">
        <v>21</v>
      </c>
      <c r="C2" s="8" t="n">
        <v>1240</v>
      </c>
      <c r="D2" s="8"/>
      <c r="E2" s="8" t="n">
        <v>1830</v>
      </c>
      <c r="F2" s="8"/>
      <c r="G2" s="9" t="s">
        <v>22</v>
      </c>
      <c r="H2" s="10" t="s">
        <v>23</v>
      </c>
      <c r="I2" s="10" t="n">
        <v>46067</v>
      </c>
      <c r="J2" s="60" t="n">
        <v>10</v>
      </c>
      <c r="K2" s="9" t="s">
        <v>16</v>
      </c>
      <c r="L2" s="10" t="n">
        <v>46067</v>
      </c>
      <c r="M2" s="12" t="s">
        <v>25</v>
      </c>
      <c r="N2" s="41" t="s">
        <v>20</v>
      </c>
    </row>
    <row r="3" customFormat="false" ht="28.9" hidden="false" customHeight="false" outlineLevel="0" collapsed="false">
      <c r="A3" s="2"/>
      <c r="B3" s="14" t="s">
        <v>27</v>
      </c>
      <c r="C3" s="8" t="n">
        <v>1240</v>
      </c>
      <c r="D3" s="8"/>
      <c r="E3" s="8" t="n">
        <v>1830</v>
      </c>
      <c r="F3" s="8"/>
      <c r="G3" s="9" t="s">
        <v>22</v>
      </c>
      <c r="H3" s="10" t="s">
        <v>23</v>
      </c>
      <c r="I3" s="10" t="n">
        <v>46067</v>
      </c>
      <c r="J3" s="60" t="n">
        <v>10</v>
      </c>
      <c r="K3" s="9" t="s">
        <v>16</v>
      </c>
      <c r="L3" s="10" t="n">
        <v>46067</v>
      </c>
      <c r="M3" s="12" t="s">
        <v>25</v>
      </c>
      <c r="N3" s="41" t="s">
        <v>26</v>
      </c>
    </row>
    <row r="4" customFormat="false" ht="56.6" hidden="false" customHeight="true" outlineLevel="0" collapsed="false">
      <c r="A4" s="2"/>
      <c r="B4" s="7" t="s">
        <v>29</v>
      </c>
      <c r="C4" s="8" t="n">
        <v>1420</v>
      </c>
      <c r="D4" s="8"/>
      <c r="E4" s="8" t="n">
        <v>2020</v>
      </c>
      <c r="F4" s="8"/>
      <c r="G4" s="9" t="s">
        <v>14</v>
      </c>
      <c r="H4" s="10" t="s">
        <v>164</v>
      </c>
      <c r="I4" s="10"/>
      <c r="J4" s="18" t="s">
        <v>32</v>
      </c>
      <c r="K4" s="9" t="s">
        <v>143</v>
      </c>
      <c r="L4" s="10" t="n">
        <v>46081</v>
      </c>
      <c r="M4" s="12" t="s">
        <v>33</v>
      </c>
      <c r="N4" s="41" t="s">
        <v>28</v>
      </c>
    </row>
    <row r="5" customFormat="false" ht="28.9" hidden="false" customHeight="false" outlineLevel="0" collapsed="false">
      <c r="A5" s="2"/>
      <c r="B5" s="7" t="s">
        <v>35</v>
      </c>
      <c r="C5" s="8" t="n">
        <v>1340</v>
      </c>
      <c r="D5" s="8"/>
      <c r="E5" s="8" t="n">
        <v>1880</v>
      </c>
      <c r="F5" s="8"/>
      <c r="G5" s="9" t="s">
        <v>22</v>
      </c>
      <c r="H5" s="10" t="s">
        <v>165</v>
      </c>
      <c r="I5" s="10" t="n">
        <v>46078</v>
      </c>
      <c r="J5" s="16" t="s">
        <v>166</v>
      </c>
      <c r="K5" s="9" t="s">
        <v>140</v>
      </c>
      <c r="L5" s="10" t="n">
        <v>46078</v>
      </c>
      <c r="M5" s="12" t="s">
        <v>41</v>
      </c>
      <c r="N5" s="41" t="s">
        <v>42</v>
      </c>
    </row>
    <row r="6" customFormat="false" ht="28.9" hidden="false" customHeight="true" outlineLevel="0" collapsed="false">
      <c r="A6" s="2"/>
      <c r="B6" s="7" t="s">
        <v>43</v>
      </c>
      <c r="C6" s="8" t="s">
        <v>30</v>
      </c>
      <c r="D6" s="8"/>
      <c r="E6" s="8" t="s">
        <v>30</v>
      </c>
      <c r="F6" s="8"/>
      <c r="G6" s="9" t="s">
        <v>14</v>
      </c>
      <c r="H6" s="10" t="s">
        <v>30</v>
      </c>
      <c r="I6" s="10"/>
      <c r="J6" s="18" t="n">
        <v>5</v>
      </c>
      <c r="K6" s="9" t="s">
        <v>16</v>
      </c>
      <c r="L6" s="15" t="s">
        <v>30</v>
      </c>
      <c r="M6" s="12" t="s">
        <v>47</v>
      </c>
      <c r="N6" s="55"/>
    </row>
    <row r="7" customFormat="false" ht="30" hidden="false" customHeight="true" outlineLevel="0" collapsed="false">
      <c r="A7" s="2"/>
      <c r="B7" s="7" t="s">
        <v>49</v>
      </c>
      <c r="C7" s="8" t="s">
        <v>30</v>
      </c>
      <c r="D7" s="8"/>
      <c r="E7" s="8" t="s">
        <v>30</v>
      </c>
      <c r="F7" s="8"/>
      <c r="G7" s="9" t="s">
        <v>50</v>
      </c>
      <c r="H7" s="10" t="s">
        <v>167</v>
      </c>
      <c r="I7" s="10" t="n">
        <v>46066</v>
      </c>
      <c r="J7" s="16" t="s">
        <v>95</v>
      </c>
      <c r="K7" s="9" t="s">
        <v>140</v>
      </c>
      <c r="L7" s="10" t="n">
        <v>46081</v>
      </c>
      <c r="M7" s="12" t="s">
        <v>52</v>
      </c>
      <c r="N7" s="55"/>
    </row>
    <row r="8" customFormat="false" ht="70.45" hidden="false" customHeight="false" outlineLevel="0" collapsed="false">
      <c r="A8" s="2"/>
      <c r="B8" s="7" t="s">
        <v>54</v>
      </c>
      <c r="C8" s="8" t="n">
        <v>1290</v>
      </c>
      <c r="D8" s="8"/>
      <c r="E8" s="8" t="n">
        <v>1530</v>
      </c>
      <c r="F8" s="8"/>
      <c r="G8" s="12" t="s">
        <v>168</v>
      </c>
      <c r="H8" s="10" t="s">
        <v>169</v>
      </c>
      <c r="I8" s="10" t="s">
        <v>170</v>
      </c>
      <c r="J8" s="18" t="s">
        <v>171</v>
      </c>
      <c r="K8" s="9" t="s">
        <v>16</v>
      </c>
      <c r="L8" s="10" t="n">
        <v>46096</v>
      </c>
      <c r="M8" s="9" t="s">
        <v>52</v>
      </c>
      <c r="N8" s="55"/>
    </row>
    <row r="9" customFormat="false" ht="28.9" hidden="false" customHeight="false" outlineLevel="0" collapsed="false">
      <c r="A9" s="2"/>
      <c r="B9" s="14" t="s">
        <v>110</v>
      </c>
      <c r="C9" s="8" t="n">
        <v>1040</v>
      </c>
      <c r="D9" s="8"/>
      <c r="E9" s="8" t="n">
        <v>1580</v>
      </c>
      <c r="F9" s="8"/>
      <c r="G9" s="9" t="s">
        <v>14</v>
      </c>
      <c r="H9" s="10" t="s">
        <v>172</v>
      </c>
      <c r="I9" s="10" t="n">
        <v>46089</v>
      </c>
      <c r="J9" s="18" t="s">
        <v>32</v>
      </c>
      <c r="K9" s="9" t="s">
        <v>16</v>
      </c>
      <c r="L9" s="10" t="n">
        <v>46089</v>
      </c>
      <c r="M9" s="9" t="s">
        <v>52</v>
      </c>
      <c r="N9" s="55"/>
    </row>
    <row r="10" customFormat="false" ht="28.9" hidden="false" customHeight="false" outlineLevel="0" collapsed="false">
      <c r="A10" s="2"/>
      <c r="B10" s="14" t="s">
        <v>110</v>
      </c>
      <c r="C10" s="8" t="n">
        <v>1040</v>
      </c>
      <c r="D10" s="8"/>
      <c r="E10" s="8" t="n">
        <v>1580</v>
      </c>
      <c r="F10" s="8"/>
      <c r="G10" s="9" t="s">
        <v>74</v>
      </c>
      <c r="H10" s="10" t="s">
        <v>172</v>
      </c>
      <c r="I10" s="10" t="n">
        <v>46089</v>
      </c>
      <c r="J10" s="18" t="s">
        <v>32</v>
      </c>
      <c r="K10" s="9" t="s">
        <v>16</v>
      </c>
      <c r="L10" s="10" t="n">
        <v>46089</v>
      </c>
      <c r="M10" s="42" t="s">
        <v>96</v>
      </c>
      <c r="N10" s="55"/>
    </row>
    <row r="11" customFormat="false" ht="16.25" hidden="false" customHeight="false" outlineLevel="0" collapsed="false">
      <c r="A11" s="2"/>
      <c r="B11" s="7" t="s">
        <v>64</v>
      </c>
      <c r="C11" s="8" t="s">
        <v>30</v>
      </c>
      <c r="D11" s="8"/>
      <c r="E11" s="8" t="s">
        <v>30</v>
      </c>
      <c r="F11" s="8"/>
      <c r="G11" s="9" t="s">
        <v>61</v>
      </c>
      <c r="H11" s="10" t="s">
        <v>30</v>
      </c>
      <c r="I11" s="10" t="s">
        <v>30</v>
      </c>
      <c r="J11" s="18" t="n">
        <v>5</v>
      </c>
      <c r="K11" s="9" t="s">
        <v>16</v>
      </c>
      <c r="L11" s="10" t="n">
        <v>45961</v>
      </c>
      <c r="M11" s="9" t="s">
        <v>52</v>
      </c>
      <c r="N11" s="55"/>
    </row>
    <row r="12" customFormat="false" ht="16.25" hidden="false" customHeight="false" outlineLevel="0" collapsed="false">
      <c r="A12" s="2"/>
      <c r="B12" s="7" t="s">
        <v>149</v>
      </c>
      <c r="C12" s="8" t="s">
        <v>30</v>
      </c>
      <c r="D12" s="8"/>
      <c r="E12" s="8" t="s">
        <v>30</v>
      </c>
      <c r="F12" s="8"/>
      <c r="G12" s="9" t="s">
        <v>150</v>
      </c>
      <c r="H12" s="10" t="s">
        <v>30</v>
      </c>
      <c r="I12" s="10" t="s">
        <v>30</v>
      </c>
      <c r="J12" s="18" t="n">
        <v>4</v>
      </c>
      <c r="K12" s="9" t="s">
        <v>16</v>
      </c>
      <c r="L12" s="10" t="n">
        <v>45988</v>
      </c>
      <c r="M12" s="9" t="s">
        <v>52</v>
      </c>
      <c r="N12" s="55"/>
    </row>
    <row r="13" customFormat="false" ht="28.9" hidden="false" customHeight="false" outlineLevel="0" collapsed="false">
      <c r="A13" s="2"/>
      <c r="B13" s="7" t="s">
        <v>66</v>
      </c>
      <c r="C13" s="8" t="n">
        <v>1000</v>
      </c>
      <c r="D13" s="8"/>
      <c r="E13" s="8" t="n">
        <v>1500</v>
      </c>
      <c r="F13" s="8"/>
      <c r="G13" s="12" t="s">
        <v>173</v>
      </c>
      <c r="H13" s="10" t="s">
        <v>174</v>
      </c>
      <c r="I13" s="10" t="s">
        <v>175</v>
      </c>
      <c r="J13" s="18" t="n">
        <v>5</v>
      </c>
      <c r="K13" s="9" t="s">
        <v>16</v>
      </c>
      <c r="L13" s="10" t="n">
        <v>46081</v>
      </c>
      <c r="M13" s="9" t="s">
        <v>52</v>
      </c>
      <c r="N13" s="55"/>
    </row>
    <row r="15" s="55" customFormat="true" ht="15.05" hidden="false" customHeight="true" outlineLevel="0" collapsed="false">
      <c r="A15" s="2" t="s">
        <v>176</v>
      </c>
      <c r="B15" s="3" t="s">
        <v>1</v>
      </c>
      <c r="C15" s="4" t="s">
        <v>70</v>
      </c>
      <c r="D15" s="4"/>
      <c r="E15" s="4" t="s">
        <v>71</v>
      </c>
      <c r="F15" s="4"/>
      <c r="G15" s="4" t="s">
        <v>4</v>
      </c>
      <c r="H15" s="4" t="s">
        <v>5</v>
      </c>
      <c r="I15" s="4" t="s">
        <v>7</v>
      </c>
      <c r="J15" s="4" t="s">
        <v>8</v>
      </c>
      <c r="K15" s="4" t="s">
        <v>9</v>
      </c>
      <c r="L15" s="5" t="s">
        <v>10</v>
      </c>
      <c r="M15" s="5" t="s">
        <v>11</v>
      </c>
    </row>
    <row r="16" s="55" customFormat="true" ht="28.9" hidden="false" customHeight="false" outlineLevel="0" collapsed="false">
      <c r="A16" s="2"/>
      <c r="B16" s="7" t="s">
        <v>21</v>
      </c>
      <c r="C16" s="44" t="n">
        <v>1390</v>
      </c>
      <c r="D16" s="8" t="s">
        <v>72</v>
      </c>
      <c r="E16" s="44" t="n">
        <v>2030</v>
      </c>
      <c r="F16" s="8" t="s">
        <v>72</v>
      </c>
      <c r="G16" s="9" t="s">
        <v>22</v>
      </c>
      <c r="H16" s="25" t="str">
        <f aca="false">H2</f>
        <v>SURABAYA VOYAGER
9018E</v>
      </c>
      <c r="I16" s="10" t="n">
        <f aca="false">I2</f>
        <v>46067</v>
      </c>
      <c r="J16" s="60" t="n">
        <v>10</v>
      </c>
      <c r="K16" s="9" t="s">
        <v>16</v>
      </c>
      <c r="L16" s="10" t="n">
        <f aca="false">L2</f>
        <v>46067</v>
      </c>
      <c r="M16" s="12" t="s">
        <v>25</v>
      </c>
    </row>
    <row r="17" s="55" customFormat="true" ht="28.9" hidden="false" customHeight="false" outlineLevel="0" collapsed="false">
      <c r="A17" s="2"/>
      <c r="B17" s="14" t="s">
        <v>27</v>
      </c>
      <c r="C17" s="44" t="n">
        <v>1390</v>
      </c>
      <c r="D17" s="8" t="s">
        <v>72</v>
      </c>
      <c r="E17" s="44" t="n">
        <v>2030</v>
      </c>
      <c r="F17" s="8" t="s">
        <v>72</v>
      </c>
      <c r="G17" s="9" t="s">
        <v>22</v>
      </c>
      <c r="H17" s="25" t="str">
        <f aca="false">H3</f>
        <v>SURABAYA VOYAGER
9018E</v>
      </c>
      <c r="I17" s="10" t="n">
        <f aca="false">I3</f>
        <v>46067</v>
      </c>
      <c r="J17" s="60" t="n">
        <v>10</v>
      </c>
      <c r="K17" s="9" t="s">
        <v>16</v>
      </c>
      <c r="L17" s="10" t="n">
        <f aca="false">L3</f>
        <v>46067</v>
      </c>
      <c r="M17" s="12" t="s">
        <v>25</v>
      </c>
    </row>
    <row r="18" s="55" customFormat="true" ht="56.6" hidden="false" customHeight="true" outlineLevel="0" collapsed="false">
      <c r="A18" s="2"/>
      <c r="B18" s="7" t="s">
        <v>29</v>
      </c>
      <c r="C18" s="8" t="n">
        <v>1520</v>
      </c>
      <c r="D18" s="8" t="s">
        <v>72</v>
      </c>
      <c r="E18" s="8" t="n">
        <v>2420</v>
      </c>
      <c r="F18" s="8" t="s">
        <v>72</v>
      </c>
      <c r="G18" s="9" t="s">
        <v>14</v>
      </c>
      <c r="H18" s="10" t="s">
        <v>164</v>
      </c>
      <c r="I18" s="10"/>
      <c r="J18" s="18" t="s">
        <v>32</v>
      </c>
      <c r="K18" s="9" t="s">
        <v>143</v>
      </c>
      <c r="L18" s="10" t="n">
        <v>46081</v>
      </c>
      <c r="M18" s="12" t="s">
        <v>33</v>
      </c>
    </row>
    <row r="19" s="31" customFormat="true" ht="28.9" hidden="false" customHeight="false" outlineLevel="0" collapsed="false">
      <c r="A19" s="2"/>
      <c r="B19" s="7" t="s">
        <v>35</v>
      </c>
      <c r="C19" s="44" t="n">
        <v>1440</v>
      </c>
      <c r="D19" s="44" t="s">
        <v>72</v>
      </c>
      <c r="E19" s="8" t="n">
        <v>1980</v>
      </c>
      <c r="F19" s="8" t="s">
        <v>72</v>
      </c>
      <c r="G19" s="9" t="s">
        <v>22</v>
      </c>
      <c r="H19" s="10" t="s">
        <v>165</v>
      </c>
      <c r="I19" s="10" t="n">
        <v>46078</v>
      </c>
      <c r="J19" s="16" t="s">
        <v>166</v>
      </c>
      <c r="K19" s="9" t="s">
        <v>140</v>
      </c>
      <c r="L19" s="10" t="n">
        <v>46078</v>
      </c>
      <c r="M19" s="12" t="s">
        <v>41</v>
      </c>
    </row>
    <row r="20" s="55" customFormat="true" ht="28.9" hidden="false" customHeight="true" outlineLevel="0" collapsed="false">
      <c r="A20" s="2"/>
      <c r="B20" s="7" t="s">
        <v>43</v>
      </c>
      <c r="C20" s="44" t="s">
        <v>30</v>
      </c>
      <c r="D20" s="61" t="s">
        <v>30</v>
      </c>
      <c r="E20" s="44" t="s">
        <v>30</v>
      </c>
      <c r="F20" s="61" t="s">
        <v>30</v>
      </c>
      <c r="G20" s="9" t="s">
        <v>14</v>
      </c>
      <c r="H20" s="10" t="s">
        <v>30</v>
      </c>
      <c r="I20" s="10"/>
      <c r="J20" s="18" t="n">
        <v>5</v>
      </c>
      <c r="K20" s="9" t="s">
        <v>16</v>
      </c>
      <c r="L20" s="15" t="s">
        <v>30</v>
      </c>
      <c r="M20" s="12" t="s">
        <v>47</v>
      </c>
    </row>
    <row r="21" s="55" customFormat="true" ht="30" hidden="false" customHeight="true" outlineLevel="0" collapsed="false">
      <c r="A21" s="2"/>
      <c r="B21" s="7" t="s">
        <v>49</v>
      </c>
      <c r="C21" s="44" t="s">
        <v>30</v>
      </c>
      <c r="D21" s="61" t="s">
        <v>30</v>
      </c>
      <c r="E21" s="44" t="s">
        <v>30</v>
      </c>
      <c r="F21" s="61" t="s">
        <v>30</v>
      </c>
      <c r="G21" s="9" t="s">
        <v>50</v>
      </c>
      <c r="H21" s="10" t="s">
        <v>167</v>
      </c>
      <c r="I21" s="10" t="n">
        <v>46066</v>
      </c>
      <c r="J21" s="16" t="s">
        <v>95</v>
      </c>
      <c r="K21" s="9" t="s">
        <v>140</v>
      </c>
      <c r="L21" s="10" t="n">
        <v>46081</v>
      </c>
      <c r="M21" s="12" t="s">
        <v>52</v>
      </c>
    </row>
    <row r="22" s="55" customFormat="true" ht="28.9" hidden="false" customHeight="false" outlineLevel="0" collapsed="false">
      <c r="A22" s="2"/>
      <c r="B22" s="7" t="s">
        <v>54</v>
      </c>
      <c r="C22" s="62" t="n">
        <v>1540</v>
      </c>
      <c r="D22" s="8" t="s">
        <v>73</v>
      </c>
      <c r="E22" s="62" t="n">
        <v>2080</v>
      </c>
      <c r="F22" s="8" t="s">
        <v>73</v>
      </c>
      <c r="G22" s="12" t="s">
        <v>155</v>
      </c>
      <c r="H22" s="10" t="s">
        <v>125</v>
      </c>
      <c r="I22" s="10" t="n">
        <v>46095</v>
      </c>
      <c r="J22" s="18" t="s">
        <v>171</v>
      </c>
      <c r="K22" s="9" t="s">
        <v>16</v>
      </c>
      <c r="L22" s="10" t="n">
        <v>46096</v>
      </c>
      <c r="M22" s="9" t="s">
        <v>52</v>
      </c>
    </row>
    <row r="23" s="55" customFormat="true" ht="56.6" hidden="false" customHeight="false" outlineLevel="0" collapsed="false">
      <c r="A23" s="2"/>
      <c r="B23" s="7" t="s">
        <v>54</v>
      </c>
      <c r="C23" s="62" t="s">
        <v>177</v>
      </c>
      <c r="D23" s="63" t="s">
        <v>73</v>
      </c>
      <c r="E23" s="62" t="s">
        <v>178</v>
      </c>
      <c r="F23" s="63" t="s">
        <v>73</v>
      </c>
      <c r="G23" s="9" t="s">
        <v>74</v>
      </c>
      <c r="H23" s="10" t="s">
        <v>179</v>
      </c>
      <c r="I23" s="10" t="s">
        <v>180</v>
      </c>
      <c r="J23" s="18" t="s">
        <v>171</v>
      </c>
      <c r="K23" s="9" t="s">
        <v>16</v>
      </c>
      <c r="L23" s="10" t="n">
        <v>46096</v>
      </c>
      <c r="M23" s="9" t="s">
        <v>52</v>
      </c>
    </row>
    <row r="24" s="55" customFormat="true" ht="28.9" hidden="false" customHeight="false" outlineLevel="0" collapsed="false">
      <c r="A24" s="2"/>
      <c r="B24" s="14" t="s">
        <v>110</v>
      </c>
      <c r="C24" s="8" t="n">
        <v>1290</v>
      </c>
      <c r="D24" s="8" t="s">
        <v>72</v>
      </c>
      <c r="E24" s="8" t="n">
        <v>2030</v>
      </c>
      <c r="F24" s="8" t="s">
        <v>72</v>
      </c>
      <c r="G24" s="9" t="s">
        <v>14</v>
      </c>
      <c r="H24" s="10" t="s">
        <v>172</v>
      </c>
      <c r="I24" s="10" t="n">
        <v>46089</v>
      </c>
      <c r="J24" s="18" t="s">
        <v>32</v>
      </c>
      <c r="K24" s="9" t="s">
        <v>16</v>
      </c>
      <c r="L24" s="10" t="n">
        <v>46089</v>
      </c>
      <c r="M24" s="9" t="s">
        <v>52</v>
      </c>
    </row>
    <row r="25" s="55" customFormat="true" ht="28.9" hidden="false" customHeight="false" outlineLevel="0" collapsed="false">
      <c r="A25" s="2"/>
      <c r="B25" s="14" t="s">
        <v>110</v>
      </c>
      <c r="C25" s="8" t="n">
        <v>1440</v>
      </c>
      <c r="D25" s="8" t="s">
        <v>72</v>
      </c>
      <c r="E25" s="8" t="n">
        <v>2030</v>
      </c>
      <c r="F25" s="8" t="s">
        <v>72</v>
      </c>
      <c r="G25" s="9" t="s">
        <v>74</v>
      </c>
      <c r="H25" s="10" t="s">
        <v>172</v>
      </c>
      <c r="I25" s="10" t="n">
        <v>46089</v>
      </c>
      <c r="J25" s="18" t="s">
        <v>32</v>
      </c>
      <c r="K25" s="9" t="s">
        <v>16</v>
      </c>
      <c r="L25" s="10" t="n">
        <v>46089</v>
      </c>
      <c r="M25" s="42" t="s">
        <v>96</v>
      </c>
    </row>
    <row r="26" s="55" customFormat="true" ht="16.25" hidden="false" customHeight="false" outlineLevel="0" collapsed="false">
      <c r="A26" s="2"/>
      <c r="B26" s="7" t="s">
        <v>64</v>
      </c>
      <c r="C26" s="44" t="s">
        <v>30</v>
      </c>
      <c r="D26" s="61" t="s">
        <v>30</v>
      </c>
      <c r="E26" s="44" t="s">
        <v>30</v>
      </c>
      <c r="F26" s="61" t="s">
        <v>30</v>
      </c>
      <c r="G26" s="9" t="s">
        <v>61</v>
      </c>
      <c r="H26" s="10" t="s">
        <v>30</v>
      </c>
      <c r="I26" s="10" t="s">
        <v>30</v>
      </c>
      <c r="J26" s="18" t="n">
        <v>5</v>
      </c>
      <c r="K26" s="9" t="s">
        <v>16</v>
      </c>
      <c r="L26" s="10" t="n">
        <v>45961</v>
      </c>
      <c r="M26" s="9" t="s">
        <v>52</v>
      </c>
    </row>
    <row r="27" s="55" customFormat="true" ht="16.25" hidden="false" customHeight="false" outlineLevel="0" collapsed="false">
      <c r="A27" s="2"/>
      <c r="B27" s="7" t="s">
        <v>149</v>
      </c>
      <c r="C27" s="44" t="s">
        <v>30</v>
      </c>
      <c r="D27" s="61" t="s">
        <v>30</v>
      </c>
      <c r="E27" s="44" t="s">
        <v>30</v>
      </c>
      <c r="F27" s="61" t="s">
        <v>30</v>
      </c>
      <c r="G27" s="9" t="s">
        <v>150</v>
      </c>
      <c r="H27" s="10" t="s">
        <v>30</v>
      </c>
      <c r="I27" s="10" t="s">
        <v>30</v>
      </c>
      <c r="J27" s="18" t="n">
        <v>4</v>
      </c>
      <c r="K27" s="9" t="s">
        <v>16</v>
      </c>
      <c r="L27" s="10" t="n">
        <v>45988</v>
      </c>
      <c r="M27" s="9" t="s">
        <v>52</v>
      </c>
    </row>
    <row r="28" s="55" customFormat="true" ht="28.9" hidden="false" customHeight="false" outlineLevel="0" collapsed="false">
      <c r="A28" s="2"/>
      <c r="B28" s="7" t="s">
        <v>66</v>
      </c>
      <c r="C28" s="44" t="n">
        <v>1250</v>
      </c>
      <c r="D28" s="8" t="s">
        <v>73</v>
      </c>
      <c r="E28" s="44" t="n">
        <v>2050</v>
      </c>
      <c r="F28" s="8" t="s">
        <v>73</v>
      </c>
      <c r="G28" s="12" t="s">
        <v>50</v>
      </c>
      <c r="H28" s="10" t="s">
        <v>123</v>
      </c>
      <c r="I28" s="10" t="n">
        <v>46080</v>
      </c>
      <c r="J28" s="18" t="n">
        <v>5</v>
      </c>
      <c r="K28" s="9" t="s">
        <v>16</v>
      </c>
      <c r="L28" s="10" t="n">
        <v>46081</v>
      </c>
      <c r="M28" s="9" t="s">
        <v>52</v>
      </c>
      <c r="N28" s="53"/>
    </row>
    <row r="29" s="55" customFormat="true" ht="28.9" hidden="false" customHeight="false" outlineLevel="0" collapsed="false">
      <c r="A29" s="2"/>
      <c r="B29" s="7" t="s">
        <v>66</v>
      </c>
      <c r="C29" s="44" t="s">
        <v>30</v>
      </c>
      <c r="D29" s="44" t="s">
        <v>30</v>
      </c>
      <c r="E29" s="44" t="s">
        <v>30</v>
      </c>
      <c r="F29" s="44" t="s">
        <v>30</v>
      </c>
      <c r="G29" s="12" t="s">
        <v>67</v>
      </c>
      <c r="H29" s="10" t="s">
        <v>122</v>
      </c>
      <c r="I29" s="10" t="n">
        <v>46070</v>
      </c>
      <c r="J29" s="18" t="n">
        <v>5</v>
      </c>
      <c r="K29" s="9" t="s">
        <v>16</v>
      </c>
      <c r="L29" s="10" t="n">
        <v>46081</v>
      </c>
      <c r="M29" s="9" t="s">
        <v>52</v>
      </c>
      <c r="N29" s="53" t="s">
        <v>75</v>
      </c>
    </row>
    <row r="31" s="55" customFormat="true" ht="15.05" hidden="false" customHeight="true" outlineLevel="0" collapsed="false">
      <c r="A31" s="2" t="s">
        <v>181</v>
      </c>
      <c r="B31" s="3" t="s">
        <v>1</v>
      </c>
      <c r="C31" s="4" t="s">
        <v>70</v>
      </c>
      <c r="D31" s="4"/>
      <c r="E31" s="4" t="s">
        <v>71</v>
      </c>
      <c r="F31" s="4"/>
      <c r="G31" s="4" t="s">
        <v>4</v>
      </c>
      <c r="H31" s="4" t="s">
        <v>5</v>
      </c>
      <c r="I31" s="4" t="s">
        <v>7</v>
      </c>
      <c r="J31" s="4" t="s">
        <v>8</v>
      </c>
      <c r="K31" s="4" t="s">
        <v>9</v>
      </c>
      <c r="L31" s="5" t="s">
        <v>10</v>
      </c>
      <c r="M31" s="5" t="s">
        <v>11</v>
      </c>
    </row>
    <row r="32" s="55" customFormat="true" ht="28.9" hidden="false" customHeight="false" outlineLevel="0" collapsed="false">
      <c r="A32" s="2"/>
      <c r="B32" s="7" t="s">
        <v>21</v>
      </c>
      <c r="C32" s="44" t="n">
        <v>1735</v>
      </c>
      <c r="D32" s="8" t="s">
        <v>73</v>
      </c>
      <c r="E32" s="44" t="n">
        <v>3130</v>
      </c>
      <c r="F32" s="8" t="s">
        <v>73</v>
      </c>
      <c r="G32" s="9" t="str">
        <f aca="false">G2</f>
        <v>Vladivostok Commercial / Fish Port</v>
      </c>
      <c r="H32" s="25" t="str">
        <f aca="false">H2</f>
        <v>SURABAYA VOYAGER
9018E</v>
      </c>
      <c r="I32" s="10" t="n">
        <f aca="false">I2</f>
        <v>46067</v>
      </c>
      <c r="J32" s="60" t="n">
        <v>10</v>
      </c>
      <c r="K32" s="9" t="s">
        <v>16</v>
      </c>
      <c r="L32" s="10" t="n">
        <f aca="false">L2</f>
        <v>46067</v>
      </c>
      <c r="M32" s="12" t="str">
        <f aca="false">M2</f>
        <v>Include DTHC $550/650
DTHC PP/CC Available</v>
      </c>
    </row>
    <row r="33" s="55" customFormat="true" ht="28.9" hidden="false" customHeight="false" outlineLevel="0" collapsed="false">
      <c r="A33" s="2"/>
      <c r="B33" s="14" t="s">
        <v>27</v>
      </c>
      <c r="C33" s="44" t="n">
        <v>1735</v>
      </c>
      <c r="D33" s="8" t="s">
        <v>73</v>
      </c>
      <c r="E33" s="44" t="n">
        <v>3130</v>
      </c>
      <c r="F33" s="8" t="s">
        <v>73</v>
      </c>
      <c r="G33" s="9" t="str">
        <f aca="false">G3</f>
        <v>Vladivostok Commercial / Fish Port</v>
      </c>
      <c r="H33" s="25" t="str">
        <f aca="false">H2</f>
        <v>SURABAYA VOYAGER
9018E</v>
      </c>
      <c r="I33" s="10" t="n">
        <f aca="false">I2</f>
        <v>46067</v>
      </c>
      <c r="J33" s="60" t="n">
        <v>10</v>
      </c>
      <c r="K33" s="9" t="s">
        <v>16</v>
      </c>
      <c r="L33" s="10" t="n">
        <f aca="false">L3</f>
        <v>46067</v>
      </c>
      <c r="M33" s="12" t="str">
        <f aca="false">M3</f>
        <v>Include DTHC $550/650
DTHC PP/CC Available</v>
      </c>
    </row>
    <row r="34" s="55" customFormat="true" ht="56.6" hidden="false" customHeight="false" outlineLevel="0" collapsed="false">
      <c r="A34" s="2"/>
      <c r="B34" s="7" t="s">
        <v>29</v>
      </c>
      <c r="C34" s="8" t="n">
        <v>1930</v>
      </c>
      <c r="D34" s="8" t="s">
        <v>73</v>
      </c>
      <c r="E34" s="8" t="n">
        <v>3320</v>
      </c>
      <c r="F34" s="8" t="s">
        <v>73</v>
      </c>
      <c r="G34" s="9" t="str">
        <f aca="false">G4</f>
        <v>Vladivostok Commercial Port</v>
      </c>
      <c r="H34" s="10" t="str">
        <f aca="false">H4</f>
        <v>Wed &amp; Thur</v>
      </c>
      <c r="I34" s="10"/>
      <c r="J34" s="18" t="str">
        <f aca="false">J4</f>
        <v>6~7</v>
      </c>
      <c r="K34" s="9" t="str">
        <f aca="false">K4</f>
        <v>VIA SHANGHAI</v>
      </c>
      <c r="L34" s="10" t="n">
        <v>46081</v>
      </c>
      <c r="M34" s="12" t="str">
        <f aca="false">M4</f>
        <v>Include DTHC $400/500
DDF $50/bill
DTHC&amp;DDF PP/CC Available</v>
      </c>
    </row>
    <row r="35" s="31" customFormat="true" ht="28.9" hidden="false" customHeight="false" outlineLevel="0" collapsed="false">
      <c r="A35" s="2"/>
      <c r="B35" s="7" t="s">
        <v>35</v>
      </c>
      <c r="C35" s="44" t="n">
        <v>1835</v>
      </c>
      <c r="D35" s="8" t="s">
        <v>73</v>
      </c>
      <c r="E35" s="44" t="n">
        <v>3180</v>
      </c>
      <c r="F35" s="8" t="s">
        <v>73</v>
      </c>
      <c r="G35" s="9" t="s">
        <v>22</v>
      </c>
      <c r="H35" s="10" t="s">
        <v>165</v>
      </c>
      <c r="I35" s="10" t="n">
        <v>46078</v>
      </c>
      <c r="J35" s="16" t="s">
        <v>166</v>
      </c>
      <c r="K35" s="9" t="s">
        <v>140</v>
      </c>
      <c r="L35" s="10" t="n">
        <v>46078</v>
      </c>
      <c r="M35" s="12" t="s">
        <v>41</v>
      </c>
      <c r="P35" s="55"/>
    </row>
    <row r="36" s="55" customFormat="true" ht="28.9" hidden="false" customHeight="false" outlineLevel="0" collapsed="false">
      <c r="A36" s="2"/>
      <c r="B36" s="7" t="s">
        <v>43</v>
      </c>
      <c r="C36" s="44" t="s">
        <v>30</v>
      </c>
      <c r="D36" s="61" t="s">
        <v>30</v>
      </c>
      <c r="E36" s="44" t="s">
        <v>30</v>
      </c>
      <c r="F36" s="61" t="s">
        <v>30</v>
      </c>
      <c r="G36" s="9" t="str">
        <f aca="false">G6</f>
        <v>Vladivostok Commercial Port</v>
      </c>
      <c r="H36" s="10" t="str">
        <f aca="false">H6</f>
        <v>/</v>
      </c>
      <c r="I36" s="10"/>
      <c r="J36" s="18" t="n">
        <f aca="false">J6</f>
        <v>5</v>
      </c>
      <c r="K36" s="9" t="str">
        <f aca="false">K6</f>
        <v>DIRECT</v>
      </c>
      <c r="L36" s="15" t="str">
        <f aca="false">L6</f>
        <v>/</v>
      </c>
      <c r="M36" s="12" t="str">
        <f aca="false">M6</f>
        <v>Include DTHC $350/450
DTHC PP/CC Available</v>
      </c>
    </row>
    <row r="37" s="55" customFormat="true" ht="30" hidden="false" customHeight="true" outlineLevel="0" collapsed="false">
      <c r="A37" s="2"/>
      <c r="B37" s="7" t="s">
        <v>49</v>
      </c>
      <c r="C37" s="44" t="s">
        <v>30</v>
      </c>
      <c r="D37" s="61" t="s">
        <v>30</v>
      </c>
      <c r="E37" s="44" t="s">
        <v>30</v>
      </c>
      <c r="F37" s="61" t="s">
        <v>30</v>
      </c>
      <c r="G37" s="9" t="str">
        <f aca="false">G7</f>
        <v>Vladivostok Fish Port</v>
      </c>
      <c r="H37" s="10" t="s">
        <v>167</v>
      </c>
      <c r="I37" s="10" t="n">
        <v>46066</v>
      </c>
      <c r="J37" s="16" t="s">
        <v>95</v>
      </c>
      <c r="K37" s="9" t="s">
        <v>140</v>
      </c>
      <c r="L37" s="10" t="n">
        <v>46081</v>
      </c>
      <c r="M37" s="12" t="s">
        <v>52</v>
      </c>
    </row>
    <row r="38" s="55" customFormat="true" ht="70.45" hidden="false" customHeight="false" outlineLevel="0" collapsed="false">
      <c r="A38" s="2"/>
      <c r="B38" s="7" t="s">
        <v>54</v>
      </c>
      <c r="C38" s="62" t="n">
        <v>1770</v>
      </c>
      <c r="D38" s="63" t="s">
        <v>73</v>
      </c>
      <c r="E38" s="44" t="n">
        <v>2830</v>
      </c>
      <c r="F38" s="8" t="s">
        <v>73</v>
      </c>
      <c r="G38" s="12" t="s">
        <v>168</v>
      </c>
      <c r="H38" s="10" t="s">
        <v>169</v>
      </c>
      <c r="I38" s="10" t="s">
        <v>170</v>
      </c>
      <c r="J38" s="18" t="str">
        <f aca="false">J8</f>
        <v>4~6</v>
      </c>
      <c r="K38" s="9" t="str">
        <f aca="false">K8</f>
        <v>DIRECT</v>
      </c>
      <c r="L38" s="10" t="n">
        <v>46096</v>
      </c>
      <c r="M38" s="9" t="str">
        <f aca="false">M8</f>
        <v>Include DTHC、DDF</v>
      </c>
    </row>
    <row r="39" s="55" customFormat="true" ht="28.9" hidden="false" customHeight="false" outlineLevel="0" collapsed="false">
      <c r="A39" s="2"/>
      <c r="B39" s="14" t="s">
        <v>110</v>
      </c>
      <c r="C39" s="8" t="n">
        <v>1540</v>
      </c>
      <c r="D39" s="8" t="s">
        <v>72</v>
      </c>
      <c r="E39" s="8" t="n">
        <v>2430</v>
      </c>
      <c r="F39" s="8" t="s">
        <v>72</v>
      </c>
      <c r="G39" s="9" t="s">
        <v>14</v>
      </c>
      <c r="H39" s="10" t="s">
        <v>172</v>
      </c>
      <c r="I39" s="10" t="n">
        <v>46089</v>
      </c>
      <c r="J39" s="18" t="s">
        <v>32</v>
      </c>
      <c r="K39" s="9" t="s">
        <v>16</v>
      </c>
      <c r="L39" s="10" t="n">
        <v>46089</v>
      </c>
      <c r="M39" s="9" t="s">
        <v>52</v>
      </c>
    </row>
    <row r="40" s="55" customFormat="true" ht="28.9" hidden="false" customHeight="false" outlineLevel="0" collapsed="false">
      <c r="A40" s="2"/>
      <c r="B40" s="14" t="s">
        <v>110</v>
      </c>
      <c r="C40" s="8" t="n">
        <v>1540</v>
      </c>
      <c r="D40" s="8" t="s">
        <v>72</v>
      </c>
      <c r="E40" s="8" t="n">
        <v>2430</v>
      </c>
      <c r="F40" s="8" t="s">
        <v>72</v>
      </c>
      <c r="G40" s="9" t="s">
        <v>74</v>
      </c>
      <c r="H40" s="10" t="s">
        <v>172</v>
      </c>
      <c r="I40" s="10" t="n">
        <v>46089</v>
      </c>
      <c r="J40" s="18" t="s">
        <v>32</v>
      </c>
      <c r="K40" s="9" t="s">
        <v>16</v>
      </c>
      <c r="L40" s="10" t="n">
        <v>46089</v>
      </c>
      <c r="M40" s="42" t="s">
        <v>96</v>
      </c>
    </row>
    <row r="41" s="55" customFormat="true" ht="16.25" hidden="false" customHeight="false" outlineLevel="0" collapsed="false">
      <c r="A41" s="2"/>
      <c r="B41" s="7" t="s">
        <v>64</v>
      </c>
      <c r="C41" s="44" t="s">
        <v>30</v>
      </c>
      <c r="D41" s="61" t="s">
        <v>30</v>
      </c>
      <c r="E41" s="44" t="s">
        <v>30</v>
      </c>
      <c r="F41" s="61" t="s">
        <v>30</v>
      </c>
      <c r="G41" s="9" t="str">
        <f aca="false">G11</f>
        <v>Vostochny</v>
      </c>
      <c r="H41" s="10" t="s">
        <v>30</v>
      </c>
      <c r="I41" s="10" t="s">
        <v>30</v>
      </c>
      <c r="J41" s="18" t="n">
        <v>5</v>
      </c>
      <c r="K41" s="9" t="str">
        <f aca="false">K11</f>
        <v>DIRECT</v>
      </c>
      <c r="L41" s="10" t="n">
        <f aca="false">L11</f>
        <v>45961</v>
      </c>
      <c r="M41" s="9" t="str">
        <f aca="false">M11</f>
        <v>Include DTHC、DDF</v>
      </c>
    </row>
    <row r="42" s="55" customFormat="true" ht="16.25" hidden="false" customHeight="false" outlineLevel="0" collapsed="false">
      <c r="A42" s="2"/>
      <c r="B42" s="7" t="s">
        <v>149</v>
      </c>
      <c r="C42" s="44" t="s">
        <v>30</v>
      </c>
      <c r="D42" s="61" t="s">
        <v>30</v>
      </c>
      <c r="E42" s="44" t="s">
        <v>30</v>
      </c>
      <c r="F42" s="61" t="s">
        <v>30</v>
      </c>
      <c r="G42" s="9" t="str">
        <f aca="false">G12</f>
        <v>PPK-1</v>
      </c>
      <c r="H42" s="10" t="s">
        <v>30</v>
      </c>
      <c r="I42" s="10" t="s">
        <v>30</v>
      </c>
      <c r="J42" s="18" t="n">
        <v>4</v>
      </c>
      <c r="K42" s="9" t="s">
        <v>16</v>
      </c>
      <c r="L42" s="10" t="n">
        <v>45988</v>
      </c>
      <c r="M42" s="9" t="str">
        <f aca="false">M12</f>
        <v>Include DTHC、DDF</v>
      </c>
    </row>
    <row r="43" s="55" customFormat="true" ht="28.9" hidden="false" customHeight="false" outlineLevel="0" collapsed="false">
      <c r="A43" s="2"/>
      <c r="B43" s="7" t="s">
        <v>66</v>
      </c>
      <c r="C43" s="44" t="n">
        <v>1480</v>
      </c>
      <c r="D43" s="8" t="s">
        <v>73</v>
      </c>
      <c r="E43" s="44" t="n">
        <v>2800</v>
      </c>
      <c r="F43" s="8" t="s">
        <v>73</v>
      </c>
      <c r="G43" s="12" t="s">
        <v>173</v>
      </c>
      <c r="H43" s="10" t="s">
        <v>174</v>
      </c>
      <c r="I43" s="10" t="s">
        <v>175</v>
      </c>
      <c r="J43" s="18" t="n">
        <f aca="false">J13</f>
        <v>5</v>
      </c>
      <c r="K43" s="9" t="str">
        <f aca="false">K13</f>
        <v>DIRECT</v>
      </c>
      <c r="L43" s="10" t="n">
        <v>46081</v>
      </c>
      <c r="M43" s="9" t="str">
        <f aca="false">M13</f>
        <v>Include DTHC、DDF</v>
      </c>
      <c r="N43" s="53" t="s">
        <v>75</v>
      </c>
    </row>
    <row r="45" s="55" customFormat="true" ht="15.05" hidden="false" customHeight="true" outlineLevel="0" collapsed="false">
      <c r="A45" s="2" t="s">
        <v>182</v>
      </c>
      <c r="B45" s="3" t="s">
        <v>1</v>
      </c>
      <c r="C45" s="4" t="s">
        <v>70</v>
      </c>
      <c r="D45" s="4"/>
      <c r="E45" s="4" t="s">
        <v>71</v>
      </c>
      <c r="F45" s="4"/>
      <c r="G45" s="4" t="s">
        <v>4</v>
      </c>
      <c r="H45" s="4" t="s">
        <v>5</v>
      </c>
      <c r="I45" s="4" t="s">
        <v>7</v>
      </c>
      <c r="J45" s="4" t="s">
        <v>8</v>
      </c>
      <c r="K45" s="4" t="s">
        <v>9</v>
      </c>
      <c r="L45" s="5" t="s">
        <v>10</v>
      </c>
      <c r="M45" s="5" t="s">
        <v>11</v>
      </c>
    </row>
    <row r="46" s="55" customFormat="true" ht="28.9" hidden="false" customHeight="false" outlineLevel="0" collapsed="false">
      <c r="A46" s="2"/>
      <c r="B46" s="7" t="s">
        <v>21</v>
      </c>
      <c r="C46" s="44" t="n">
        <v>1585</v>
      </c>
      <c r="D46" s="8" t="s">
        <v>73</v>
      </c>
      <c r="E46" s="44" t="n">
        <v>2760</v>
      </c>
      <c r="F46" s="8" t="s">
        <v>73</v>
      </c>
      <c r="G46" s="9" t="s">
        <v>22</v>
      </c>
      <c r="H46" s="25" t="str">
        <f aca="false">H16</f>
        <v>SURABAYA VOYAGER
9018E</v>
      </c>
      <c r="I46" s="10" t="n">
        <f aca="false">I16</f>
        <v>46067</v>
      </c>
      <c r="J46" s="60" t="n">
        <v>10</v>
      </c>
      <c r="K46" s="9" t="s">
        <v>16</v>
      </c>
      <c r="L46" s="10" t="n">
        <f aca="false">L2</f>
        <v>46067</v>
      </c>
      <c r="M46" s="12" t="s">
        <v>25</v>
      </c>
    </row>
    <row r="47" s="55" customFormat="true" ht="28.9" hidden="false" customHeight="false" outlineLevel="0" collapsed="false">
      <c r="A47" s="2"/>
      <c r="B47" s="14" t="s">
        <v>27</v>
      </c>
      <c r="C47" s="44" t="n">
        <v>1585</v>
      </c>
      <c r="D47" s="8" t="s">
        <v>73</v>
      </c>
      <c r="E47" s="44" t="n">
        <v>2760</v>
      </c>
      <c r="F47" s="8" t="s">
        <v>73</v>
      </c>
      <c r="G47" s="9" t="s">
        <v>22</v>
      </c>
      <c r="H47" s="25" t="str">
        <f aca="false">H16</f>
        <v>SURABAYA VOYAGER
9018E</v>
      </c>
      <c r="I47" s="10" t="n">
        <f aca="false">I16</f>
        <v>46067</v>
      </c>
      <c r="J47" s="60" t="n">
        <v>10</v>
      </c>
      <c r="K47" s="9" t="s">
        <v>16</v>
      </c>
      <c r="L47" s="10" t="n">
        <f aca="false">L3</f>
        <v>46067</v>
      </c>
      <c r="M47" s="12" t="s">
        <v>25</v>
      </c>
    </row>
    <row r="48" s="55" customFormat="true" ht="56.6" hidden="false" customHeight="true" outlineLevel="0" collapsed="false">
      <c r="A48" s="2"/>
      <c r="B48" s="7" t="s">
        <v>29</v>
      </c>
      <c r="C48" s="8" t="n">
        <v>1780</v>
      </c>
      <c r="D48" s="8" t="s">
        <v>73</v>
      </c>
      <c r="E48" s="8" t="n">
        <v>2950</v>
      </c>
      <c r="F48" s="8" t="s">
        <v>73</v>
      </c>
      <c r="G48" s="9" t="s">
        <v>14</v>
      </c>
      <c r="H48" s="10" t="s">
        <v>164</v>
      </c>
      <c r="I48" s="10"/>
      <c r="J48" s="18" t="s">
        <v>32</v>
      </c>
      <c r="K48" s="9" t="s">
        <v>143</v>
      </c>
      <c r="L48" s="10" t="n">
        <v>46081</v>
      </c>
      <c r="M48" s="12" t="s">
        <v>33</v>
      </c>
    </row>
    <row r="49" s="31" customFormat="true" ht="28.9" hidden="false" customHeight="false" outlineLevel="0" collapsed="false">
      <c r="A49" s="2"/>
      <c r="B49" s="7" t="s">
        <v>35</v>
      </c>
      <c r="C49" s="44" t="n">
        <v>1685</v>
      </c>
      <c r="D49" s="8" t="s">
        <v>73</v>
      </c>
      <c r="E49" s="44" t="n">
        <v>2780</v>
      </c>
      <c r="F49" s="8" t="s">
        <v>72</v>
      </c>
      <c r="G49" s="9" t="s">
        <v>22</v>
      </c>
      <c r="H49" s="10" t="s">
        <v>165</v>
      </c>
      <c r="I49" s="10" t="n">
        <v>46078</v>
      </c>
      <c r="J49" s="16" t="s">
        <v>166</v>
      </c>
      <c r="K49" s="9" t="s">
        <v>140</v>
      </c>
      <c r="L49" s="10" t="n">
        <v>46078</v>
      </c>
      <c r="M49" s="12" t="s">
        <v>41</v>
      </c>
      <c r="P49" s="55"/>
    </row>
    <row r="50" s="55" customFormat="true" ht="28.9" hidden="false" customHeight="true" outlineLevel="0" collapsed="false">
      <c r="A50" s="2"/>
      <c r="B50" s="7" t="s">
        <v>43</v>
      </c>
      <c r="C50" s="44" t="s">
        <v>30</v>
      </c>
      <c r="D50" s="61" t="s">
        <v>30</v>
      </c>
      <c r="E50" s="44" t="s">
        <v>30</v>
      </c>
      <c r="F50" s="61" t="s">
        <v>30</v>
      </c>
      <c r="G50" s="9" t="s">
        <v>14</v>
      </c>
      <c r="H50" s="10" t="s">
        <v>30</v>
      </c>
      <c r="I50" s="10"/>
      <c r="J50" s="18" t="n">
        <v>5</v>
      </c>
      <c r="K50" s="9" t="s">
        <v>16</v>
      </c>
      <c r="L50" s="15" t="s">
        <v>30</v>
      </c>
      <c r="M50" s="12" t="s">
        <v>47</v>
      </c>
    </row>
    <row r="51" s="55" customFormat="true" ht="30" hidden="false" customHeight="true" outlineLevel="0" collapsed="false">
      <c r="A51" s="2"/>
      <c r="B51" s="7" t="s">
        <v>49</v>
      </c>
      <c r="C51" s="44" t="s">
        <v>30</v>
      </c>
      <c r="D51" s="61" t="s">
        <v>30</v>
      </c>
      <c r="E51" s="44" t="s">
        <v>30</v>
      </c>
      <c r="F51" s="61" t="s">
        <v>30</v>
      </c>
      <c r="G51" s="9" t="s">
        <v>50</v>
      </c>
      <c r="H51" s="10" t="s">
        <v>167</v>
      </c>
      <c r="I51" s="10" t="n">
        <v>46066</v>
      </c>
      <c r="J51" s="16" t="s">
        <v>95</v>
      </c>
      <c r="K51" s="9" t="s">
        <v>140</v>
      </c>
      <c r="L51" s="10" t="n">
        <v>46081</v>
      </c>
      <c r="M51" s="12" t="s">
        <v>52</v>
      </c>
    </row>
    <row r="52" s="55" customFormat="true" ht="70.45" hidden="false" customHeight="false" outlineLevel="0" collapsed="false">
      <c r="A52" s="2"/>
      <c r="B52" s="7" t="s">
        <v>54</v>
      </c>
      <c r="C52" s="62" t="n">
        <v>1620</v>
      </c>
      <c r="D52" s="63" t="s">
        <v>73</v>
      </c>
      <c r="E52" s="44" t="n">
        <v>2460</v>
      </c>
      <c r="F52" s="8" t="s">
        <v>73</v>
      </c>
      <c r="G52" s="12" t="s">
        <v>168</v>
      </c>
      <c r="H52" s="10" t="s">
        <v>169</v>
      </c>
      <c r="I52" s="10" t="s">
        <v>170</v>
      </c>
      <c r="J52" s="18" t="s">
        <v>171</v>
      </c>
      <c r="K52" s="9" t="s">
        <v>16</v>
      </c>
      <c r="L52" s="10" t="n">
        <v>46096</v>
      </c>
      <c r="M52" s="9" t="s">
        <v>52</v>
      </c>
    </row>
    <row r="53" s="55" customFormat="true" ht="28.9" hidden="false" customHeight="false" outlineLevel="0" collapsed="false">
      <c r="A53" s="2"/>
      <c r="B53" s="14" t="s">
        <v>110</v>
      </c>
      <c r="C53" s="8" t="n">
        <v>1370</v>
      </c>
      <c r="D53" s="8" t="s">
        <v>73</v>
      </c>
      <c r="E53" s="8" t="n">
        <v>2380</v>
      </c>
      <c r="F53" s="8" t="s">
        <v>72</v>
      </c>
      <c r="G53" s="9" t="s">
        <v>14</v>
      </c>
      <c r="H53" s="10" t="s">
        <v>172</v>
      </c>
      <c r="I53" s="10" t="n">
        <v>46089</v>
      </c>
      <c r="J53" s="18" t="s">
        <v>32</v>
      </c>
      <c r="K53" s="9" t="s">
        <v>16</v>
      </c>
      <c r="L53" s="10" t="n">
        <v>46089</v>
      </c>
      <c r="M53" s="9" t="s">
        <v>52</v>
      </c>
    </row>
    <row r="54" s="55" customFormat="true" ht="28.9" hidden="false" customHeight="false" outlineLevel="0" collapsed="false">
      <c r="A54" s="2"/>
      <c r="B54" s="14" t="s">
        <v>110</v>
      </c>
      <c r="C54" s="8" t="n">
        <v>1370</v>
      </c>
      <c r="D54" s="8" t="s">
        <v>73</v>
      </c>
      <c r="E54" s="8" t="n">
        <v>2380</v>
      </c>
      <c r="F54" s="8" t="s">
        <v>72</v>
      </c>
      <c r="G54" s="9" t="s">
        <v>74</v>
      </c>
      <c r="H54" s="10" t="s">
        <v>172</v>
      </c>
      <c r="I54" s="10" t="n">
        <v>46089</v>
      </c>
      <c r="J54" s="18" t="s">
        <v>32</v>
      </c>
      <c r="K54" s="9" t="s">
        <v>16</v>
      </c>
      <c r="L54" s="10" t="n">
        <v>46089</v>
      </c>
      <c r="M54" s="42" t="s">
        <v>96</v>
      </c>
    </row>
    <row r="55" s="55" customFormat="true" ht="16.25" hidden="false" customHeight="false" outlineLevel="0" collapsed="false">
      <c r="A55" s="2"/>
      <c r="B55" s="7" t="s">
        <v>64</v>
      </c>
      <c r="C55" s="44" t="s">
        <v>30</v>
      </c>
      <c r="D55" s="61" t="s">
        <v>30</v>
      </c>
      <c r="E55" s="44" t="s">
        <v>30</v>
      </c>
      <c r="F55" s="61" t="s">
        <v>30</v>
      </c>
      <c r="G55" s="9" t="s">
        <v>61</v>
      </c>
      <c r="H55" s="10" t="s">
        <v>30</v>
      </c>
      <c r="I55" s="10" t="s">
        <v>30</v>
      </c>
      <c r="J55" s="18" t="n">
        <v>5</v>
      </c>
      <c r="K55" s="9" t="s">
        <v>16</v>
      </c>
      <c r="L55" s="10" t="n">
        <v>45961</v>
      </c>
      <c r="M55" s="9" t="s">
        <v>52</v>
      </c>
    </row>
    <row r="56" s="55" customFormat="true" ht="16.25" hidden="false" customHeight="false" outlineLevel="0" collapsed="false">
      <c r="A56" s="2"/>
      <c r="B56" s="7" t="s">
        <v>149</v>
      </c>
      <c r="C56" s="44" t="s">
        <v>30</v>
      </c>
      <c r="D56" s="61" t="s">
        <v>30</v>
      </c>
      <c r="E56" s="44" t="s">
        <v>30</v>
      </c>
      <c r="F56" s="61" t="s">
        <v>30</v>
      </c>
      <c r="G56" s="9" t="s">
        <v>150</v>
      </c>
      <c r="H56" s="10" t="s">
        <v>30</v>
      </c>
      <c r="I56" s="10" t="s">
        <v>30</v>
      </c>
      <c r="J56" s="18" t="n">
        <v>4</v>
      </c>
      <c r="K56" s="9" t="s">
        <v>16</v>
      </c>
      <c r="L56" s="10" t="n">
        <v>45988</v>
      </c>
      <c r="M56" s="9" t="s">
        <v>52</v>
      </c>
    </row>
    <row r="57" s="55" customFormat="true" ht="28.9" hidden="false" customHeight="false" outlineLevel="0" collapsed="false">
      <c r="A57" s="2"/>
      <c r="B57" s="7" t="s">
        <v>66</v>
      </c>
      <c r="C57" s="44" t="n">
        <v>1330</v>
      </c>
      <c r="D57" s="8" t="s">
        <v>73</v>
      </c>
      <c r="E57" s="44" t="n">
        <v>2430</v>
      </c>
      <c r="F57" s="8" t="s">
        <v>73</v>
      </c>
      <c r="G57" s="12" t="s">
        <v>173</v>
      </c>
      <c r="H57" s="10" t="s">
        <v>174</v>
      </c>
      <c r="I57" s="10" t="s">
        <v>175</v>
      </c>
      <c r="J57" s="18" t="n">
        <v>5</v>
      </c>
      <c r="K57" s="9" t="s">
        <v>16</v>
      </c>
      <c r="L57" s="10" t="n">
        <v>46081</v>
      </c>
      <c r="M57" s="9" t="s">
        <v>52</v>
      </c>
      <c r="N57" s="53" t="s">
        <v>75</v>
      </c>
    </row>
    <row r="59" s="55" customFormat="true" ht="15.05" hidden="false" customHeight="true" outlineLevel="0" collapsed="false">
      <c r="A59" s="2" t="s">
        <v>183</v>
      </c>
      <c r="B59" s="3" t="s">
        <v>1</v>
      </c>
      <c r="C59" s="4" t="s">
        <v>70</v>
      </c>
      <c r="D59" s="4"/>
      <c r="E59" s="4" t="s">
        <v>71</v>
      </c>
      <c r="F59" s="4"/>
      <c r="G59" s="4" t="s">
        <v>4</v>
      </c>
      <c r="H59" s="4" t="s">
        <v>5</v>
      </c>
      <c r="I59" s="4" t="s">
        <v>7</v>
      </c>
      <c r="J59" s="4" t="s">
        <v>8</v>
      </c>
      <c r="K59" s="4" t="s">
        <v>9</v>
      </c>
      <c r="L59" s="5" t="s">
        <v>10</v>
      </c>
      <c r="M59" s="5" t="s">
        <v>11</v>
      </c>
    </row>
    <row r="60" s="55" customFormat="true" ht="28.9" hidden="false" customHeight="false" outlineLevel="0" collapsed="false">
      <c r="A60" s="2"/>
      <c r="B60" s="7" t="s">
        <v>21</v>
      </c>
      <c r="C60" s="44" t="n">
        <v>1685</v>
      </c>
      <c r="D60" s="8" t="s">
        <v>73</v>
      </c>
      <c r="E60" s="44" t="n">
        <v>2810</v>
      </c>
      <c r="F60" s="8" t="s">
        <v>73</v>
      </c>
      <c r="G60" s="9" t="s">
        <v>22</v>
      </c>
      <c r="H60" s="25" t="str">
        <f aca="false">H2</f>
        <v>SURABAYA VOYAGER
9018E</v>
      </c>
      <c r="I60" s="10" t="n">
        <f aca="false">I2</f>
        <v>46067</v>
      </c>
      <c r="J60" s="60" t="n">
        <v>10</v>
      </c>
      <c r="K60" s="9" t="s">
        <v>16</v>
      </c>
      <c r="L60" s="10" t="n">
        <f aca="false">L2</f>
        <v>46067</v>
      </c>
      <c r="M60" s="12" t="s">
        <v>25</v>
      </c>
    </row>
    <row r="61" s="55" customFormat="true" ht="28.9" hidden="false" customHeight="false" outlineLevel="0" collapsed="false">
      <c r="A61" s="2"/>
      <c r="B61" s="14" t="s">
        <v>27</v>
      </c>
      <c r="C61" s="44" t="n">
        <v>1685</v>
      </c>
      <c r="D61" s="8" t="s">
        <v>73</v>
      </c>
      <c r="E61" s="44" t="n">
        <v>2810</v>
      </c>
      <c r="F61" s="8" t="s">
        <v>73</v>
      </c>
      <c r="G61" s="9" t="s">
        <v>22</v>
      </c>
      <c r="H61" s="25" t="str">
        <f aca="false">H2</f>
        <v>SURABAYA VOYAGER
9018E</v>
      </c>
      <c r="I61" s="10" t="n">
        <f aca="false">I2</f>
        <v>46067</v>
      </c>
      <c r="J61" s="60" t="n">
        <v>10</v>
      </c>
      <c r="K61" s="9" t="s">
        <v>16</v>
      </c>
      <c r="L61" s="10" t="n">
        <f aca="false">L3</f>
        <v>46067</v>
      </c>
      <c r="M61" s="12" t="s">
        <v>25</v>
      </c>
    </row>
    <row r="62" s="55" customFormat="true" ht="56.6" hidden="false" customHeight="true" outlineLevel="0" collapsed="false">
      <c r="A62" s="2"/>
      <c r="B62" s="7" t="s">
        <v>29</v>
      </c>
      <c r="C62" s="8" t="n">
        <v>1900</v>
      </c>
      <c r="D62" s="8" t="s">
        <v>73</v>
      </c>
      <c r="E62" s="8" t="n">
        <v>3000</v>
      </c>
      <c r="F62" s="8" t="s">
        <v>73</v>
      </c>
      <c r="G62" s="9" t="s">
        <v>14</v>
      </c>
      <c r="H62" s="10" t="s">
        <v>164</v>
      </c>
      <c r="I62" s="10"/>
      <c r="J62" s="18" t="s">
        <v>32</v>
      </c>
      <c r="K62" s="9" t="s">
        <v>143</v>
      </c>
      <c r="L62" s="10" t="n">
        <v>46081</v>
      </c>
      <c r="M62" s="12" t="s">
        <v>33</v>
      </c>
    </row>
    <row r="63" s="31" customFormat="true" ht="28.9" hidden="false" customHeight="false" outlineLevel="0" collapsed="false">
      <c r="A63" s="2"/>
      <c r="B63" s="7" t="s">
        <v>35</v>
      </c>
      <c r="C63" s="44" t="n">
        <v>1805</v>
      </c>
      <c r="D63" s="8" t="s">
        <v>73</v>
      </c>
      <c r="E63" s="44" t="n">
        <v>2860</v>
      </c>
      <c r="F63" s="8" t="s">
        <v>73</v>
      </c>
      <c r="G63" s="9" t="s">
        <v>22</v>
      </c>
      <c r="H63" s="10" t="s">
        <v>165</v>
      </c>
      <c r="I63" s="10" t="n">
        <v>46078</v>
      </c>
      <c r="J63" s="16" t="s">
        <v>166</v>
      </c>
      <c r="K63" s="9" t="s">
        <v>140</v>
      </c>
      <c r="L63" s="10" t="n">
        <v>46078</v>
      </c>
      <c r="M63" s="12" t="s">
        <v>41</v>
      </c>
      <c r="P63" s="55"/>
    </row>
    <row r="64" s="55" customFormat="true" ht="28.9" hidden="false" customHeight="true" outlineLevel="0" collapsed="false">
      <c r="A64" s="2"/>
      <c r="B64" s="7" t="s">
        <v>43</v>
      </c>
      <c r="C64" s="44" t="s">
        <v>30</v>
      </c>
      <c r="D64" s="61" t="s">
        <v>30</v>
      </c>
      <c r="E64" s="44" t="s">
        <v>30</v>
      </c>
      <c r="F64" s="61" t="s">
        <v>30</v>
      </c>
      <c r="G64" s="9" t="s">
        <v>14</v>
      </c>
      <c r="H64" s="10" t="s">
        <v>30</v>
      </c>
      <c r="I64" s="10"/>
      <c r="J64" s="18" t="n">
        <v>5</v>
      </c>
      <c r="K64" s="9" t="s">
        <v>16</v>
      </c>
      <c r="L64" s="15" t="s">
        <v>30</v>
      </c>
      <c r="M64" s="12" t="s">
        <v>47</v>
      </c>
    </row>
    <row r="65" s="55" customFormat="true" ht="30" hidden="false" customHeight="true" outlineLevel="0" collapsed="false">
      <c r="A65" s="2"/>
      <c r="B65" s="7" t="s">
        <v>49</v>
      </c>
      <c r="C65" s="44" t="s">
        <v>30</v>
      </c>
      <c r="D65" s="61" t="s">
        <v>30</v>
      </c>
      <c r="E65" s="44" t="s">
        <v>30</v>
      </c>
      <c r="F65" s="61" t="s">
        <v>30</v>
      </c>
      <c r="G65" s="9" t="s">
        <v>50</v>
      </c>
      <c r="H65" s="10" t="s">
        <v>167</v>
      </c>
      <c r="I65" s="10" t="n">
        <v>46066</v>
      </c>
      <c r="J65" s="16" t="s">
        <v>95</v>
      </c>
      <c r="K65" s="9" t="s">
        <v>140</v>
      </c>
      <c r="L65" s="10" t="n">
        <v>46081</v>
      </c>
      <c r="M65" s="12" t="s">
        <v>52</v>
      </c>
    </row>
    <row r="66" s="55" customFormat="true" ht="56.6" hidden="false" customHeight="false" outlineLevel="0" collapsed="false">
      <c r="A66" s="2"/>
      <c r="B66" s="7" t="s">
        <v>54</v>
      </c>
      <c r="C66" s="62" t="n">
        <v>1720</v>
      </c>
      <c r="D66" s="63" t="s">
        <v>73</v>
      </c>
      <c r="E66" s="44" t="n">
        <v>2510</v>
      </c>
      <c r="F66" s="8" t="s">
        <v>73</v>
      </c>
      <c r="G66" s="12" t="s">
        <v>168</v>
      </c>
      <c r="H66" s="10" t="s">
        <v>169</v>
      </c>
      <c r="I66" s="10" t="s">
        <v>170</v>
      </c>
      <c r="J66" s="18" t="s">
        <v>171</v>
      </c>
      <c r="K66" s="9" t="s">
        <v>16</v>
      </c>
      <c r="L66" s="10" t="n">
        <v>46096</v>
      </c>
      <c r="M66" s="9" t="s">
        <v>52</v>
      </c>
    </row>
    <row r="67" s="55" customFormat="true" ht="28.9" hidden="false" customHeight="false" outlineLevel="0" collapsed="false">
      <c r="A67" s="2"/>
      <c r="B67" s="14" t="s">
        <v>110</v>
      </c>
      <c r="C67" s="8" t="n">
        <v>1470</v>
      </c>
      <c r="D67" s="8" t="s">
        <v>73</v>
      </c>
      <c r="E67" s="8" t="n">
        <v>2430</v>
      </c>
      <c r="F67" s="8" t="s">
        <v>72</v>
      </c>
      <c r="G67" s="9" t="s">
        <v>14</v>
      </c>
      <c r="H67" s="10" t="s">
        <v>172</v>
      </c>
      <c r="I67" s="10" t="n">
        <v>46089</v>
      </c>
      <c r="J67" s="18" t="s">
        <v>32</v>
      </c>
      <c r="K67" s="9" t="s">
        <v>16</v>
      </c>
      <c r="L67" s="10" t="n">
        <v>46089</v>
      </c>
      <c r="M67" s="9" t="s">
        <v>52</v>
      </c>
    </row>
    <row r="68" s="55" customFormat="true" ht="28.9" hidden="false" customHeight="false" outlineLevel="0" collapsed="false">
      <c r="A68" s="2"/>
      <c r="B68" s="14" t="s">
        <v>110</v>
      </c>
      <c r="C68" s="8" t="n">
        <v>1470</v>
      </c>
      <c r="D68" s="8" t="s">
        <v>73</v>
      </c>
      <c r="E68" s="8" t="n">
        <v>2430</v>
      </c>
      <c r="F68" s="8" t="s">
        <v>72</v>
      </c>
      <c r="G68" s="9" t="s">
        <v>74</v>
      </c>
      <c r="H68" s="10" t="s">
        <v>172</v>
      </c>
      <c r="I68" s="10" t="n">
        <v>46089</v>
      </c>
      <c r="J68" s="18" t="s">
        <v>32</v>
      </c>
      <c r="K68" s="9" t="s">
        <v>16</v>
      </c>
      <c r="L68" s="10" t="n">
        <v>46089</v>
      </c>
      <c r="M68" s="42" t="s">
        <v>96</v>
      </c>
    </row>
    <row r="69" s="55" customFormat="true" ht="16.25" hidden="false" customHeight="false" outlineLevel="0" collapsed="false">
      <c r="A69" s="2"/>
      <c r="B69" s="7" t="s">
        <v>64</v>
      </c>
      <c r="C69" s="44" t="s">
        <v>30</v>
      </c>
      <c r="D69" s="61" t="s">
        <v>30</v>
      </c>
      <c r="E69" s="44" t="s">
        <v>30</v>
      </c>
      <c r="F69" s="61" t="s">
        <v>30</v>
      </c>
      <c r="G69" s="9" t="s">
        <v>61</v>
      </c>
      <c r="H69" s="10" t="s">
        <v>30</v>
      </c>
      <c r="I69" s="10" t="s">
        <v>30</v>
      </c>
      <c r="J69" s="18" t="n">
        <v>5</v>
      </c>
      <c r="K69" s="9" t="s">
        <v>16</v>
      </c>
      <c r="L69" s="10" t="n">
        <v>45961</v>
      </c>
      <c r="M69" s="9" t="s">
        <v>52</v>
      </c>
    </row>
    <row r="70" s="55" customFormat="true" ht="16.25" hidden="false" customHeight="false" outlineLevel="0" collapsed="false">
      <c r="A70" s="2"/>
      <c r="B70" s="7" t="s">
        <v>149</v>
      </c>
      <c r="C70" s="44" t="s">
        <v>30</v>
      </c>
      <c r="D70" s="61" t="s">
        <v>30</v>
      </c>
      <c r="E70" s="44" t="s">
        <v>30</v>
      </c>
      <c r="F70" s="61" t="s">
        <v>30</v>
      </c>
      <c r="G70" s="9" t="s">
        <v>150</v>
      </c>
      <c r="H70" s="10" t="s">
        <v>30</v>
      </c>
      <c r="I70" s="10" t="s">
        <v>30</v>
      </c>
      <c r="J70" s="18" t="n">
        <v>4</v>
      </c>
      <c r="K70" s="9" t="s">
        <v>16</v>
      </c>
      <c r="L70" s="10" t="n">
        <v>45988</v>
      </c>
      <c r="M70" s="9" t="s">
        <v>52</v>
      </c>
    </row>
    <row r="71" s="55" customFormat="true" ht="28.9" hidden="false" customHeight="false" outlineLevel="0" collapsed="false">
      <c r="A71" s="2"/>
      <c r="B71" s="7" t="s">
        <v>66</v>
      </c>
      <c r="C71" s="44" t="n">
        <v>1430</v>
      </c>
      <c r="D71" s="8" t="s">
        <v>73</v>
      </c>
      <c r="E71" s="44" t="n">
        <v>2480</v>
      </c>
      <c r="F71" s="8" t="s">
        <v>73</v>
      </c>
      <c r="G71" s="12" t="s">
        <v>173</v>
      </c>
      <c r="H71" s="10" t="s">
        <v>174</v>
      </c>
      <c r="I71" s="10" t="s">
        <v>175</v>
      </c>
      <c r="J71" s="18" t="n">
        <v>5</v>
      </c>
      <c r="K71" s="9" t="s">
        <v>16</v>
      </c>
      <c r="L71" s="10" t="n">
        <v>46081</v>
      </c>
      <c r="M71" s="9" t="s">
        <v>52</v>
      </c>
      <c r="N71" s="53" t="s">
        <v>75</v>
      </c>
    </row>
    <row r="73" s="55" customFormat="true" ht="15.05" hidden="false" customHeight="true" outlineLevel="0" collapsed="false">
      <c r="A73" s="2" t="s">
        <v>184</v>
      </c>
      <c r="B73" s="3" t="s">
        <v>1</v>
      </c>
      <c r="C73" s="4" t="s">
        <v>70</v>
      </c>
      <c r="D73" s="4"/>
      <c r="E73" s="4" t="s">
        <v>71</v>
      </c>
      <c r="F73" s="4"/>
      <c r="G73" s="4" t="s">
        <v>4</v>
      </c>
      <c r="H73" s="4" t="s">
        <v>5</v>
      </c>
      <c r="I73" s="4" t="s">
        <v>7</v>
      </c>
      <c r="J73" s="4" t="s">
        <v>8</v>
      </c>
      <c r="K73" s="4" t="s">
        <v>9</v>
      </c>
      <c r="L73" s="5" t="s">
        <v>10</v>
      </c>
      <c r="M73" s="5" t="s">
        <v>11</v>
      </c>
    </row>
    <row r="74" s="55" customFormat="true" ht="28.9" hidden="false" customHeight="false" outlineLevel="0" collapsed="false">
      <c r="A74" s="2"/>
      <c r="B74" s="7" t="s">
        <v>21</v>
      </c>
      <c r="C74" s="44" t="n">
        <v>1690</v>
      </c>
      <c r="D74" s="8" t="s">
        <v>72</v>
      </c>
      <c r="E74" s="44" t="n">
        <v>2730</v>
      </c>
      <c r="F74" s="8" t="s">
        <v>72</v>
      </c>
      <c r="G74" s="9" t="s">
        <v>22</v>
      </c>
      <c r="H74" s="25" t="str">
        <f aca="false">H2</f>
        <v>SURABAYA VOYAGER
9018E</v>
      </c>
      <c r="I74" s="10" t="n">
        <f aca="false">I2</f>
        <v>46067</v>
      </c>
      <c r="J74" s="60" t="n">
        <v>10</v>
      </c>
      <c r="K74" s="9" t="s">
        <v>16</v>
      </c>
      <c r="L74" s="10" t="n">
        <f aca="false">L2</f>
        <v>46067</v>
      </c>
      <c r="M74" s="12" t="s">
        <v>25</v>
      </c>
    </row>
    <row r="75" s="55" customFormat="true" ht="28.9" hidden="false" customHeight="false" outlineLevel="0" collapsed="false">
      <c r="A75" s="2"/>
      <c r="B75" s="14" t="s">
        <v>27</v>
      </c>
      <c r="C75" s="44" t="n">
        <v>1690</v>
      </c>
      <c r="D75" s="8" t="s">
        <v>72</v>
      </c>
      <c r="E75" s="44" t="n">
        <v>2730</v>
      </c>
      <c r="F75" s="8" t="s">
        <v>72</v>
      </c>
      <c r="G75" s="9" t="s">
        <v>22</v>
      </c>
      <c r="H75" s="25" t="str">
        <f aca="false">H2</f>
        <v>SURABAYA VOYAGER
9018E</v>
      </c>
      <c r="I75" s="10" t="n">
        <f aca="false">I2</f>
        <v>46067</v>
      </c>
      <c r="J75" s="60" t="n">
        <v>10</v>
      </c>
      <c r="K75" s="9" t="s">
        <v>16</v>
      </c>
      <c r="L75" s="10" t="n">
        <f aca="false">L3</f>
        <v>46067</v>
      </c>
      <c r="M75" s="12" t="s">
        <v>25</v>
      </c>
    </row>
    <row r="76" s="55" customFormat="true" ht="56.6" hidden="false" customHeight="true" outlineLevel="0" collapsed="false">
      <c r="A76" s="2"/>
      <c r="B76" s="7" t="s">
        <v>29</v>
      </c>
      <c r="C76" s="8" t="n">
        <v>1880</v>
      </c>
      <c r="D76" s="8" t="s">
        <v>73</v>
      </c>
      <c r="E76" s="8" t="n">
        <v>3000</v>
      </c>
      <c r="F76" s="8" t="s">
        <v>73</v>
      </c>
      <c r="G76" s="9" t="s">
        <v>14</v>
      </c>
      <c r="H76" s="10" t="s">
        <v>164</v>
      </c>
      <c r="I76" s="10"/>
      <c r="J76" s="18" t="s">
        <v>32</v>
      </c>
      <c r="K76" s="9" t="s">
        <v>143</v>
      </c>
      <c r="L76" s="10" t="n">
        <v>46081</v>
      </c>
      <c r="M76" s="12" t="s">
        <v>33</v>
      </c>
    </row>
    <row r="77" s="31" customFormat="true" ht="28.9" hidden="false" customHeight="false" outlineLevel="0" collapsed="false">
      <c r="A77" s="2"/>
      <c r="B77" s="7" t="s">
        <v>35</v>
      </c>
      <c r="C77" s="44" t="n">
        <v>1785</v>
      </c>
      <c r="D77" s="8" t="s">
        <v>73</v>
      </c>
      <c r="E77" s="61" t="n">
        <v>2860</v>
      </c>
      <c r="F77" s="8" t="s">
        <v>73</v>
      </c>
      <c r="G77" s="9" t="s">
        <v>22</v>
      </c>
      <c r="H77" s="10" t="s">
        <v>165</v>
      </c>
      <c r="I77" s="10" t="n">
        <v>46078</v>
      </c>
      <c r="J77" s="16" t="s">
        <v>166</v>
      </c>
      <c r="K77" s="9" t="s">
        <v>140</v>
      </c>
      <c r="L77" s="10" t="n">
        <v>46078</v>
      </c>
      <c r="M77" s="12" t="s">
        <v>41</v>
      </c>
      <c r="P77" s="55"/>
    </row>
    <row r="78" s="55" customFormat="true" ht="28.9" hidden="false" customHeight="true" outlineLevel="0" collapsed="false">
      <c r="A78" s="2"/>
      <c r="B78" s="7" t="s">
        <v>43</v>
      </c>
      <c r="C78" s="44" t="s">
        <v>30</v>
      </c>
      <c r="D78" s="61" t="s">
        <v>30</v>
      </c>
      <c r="E78" s="44" t="s">
        <v>30</v>
      </c>
      <c r="F78" s="61" t="s">
        <v>30</v>
      </c>
      <c r="G78" s="9" t="s">
        <v>14</v>
      </c>
      <c r="H78" s="10" t="s">
        <v>30</v>
      </c>
      <c r="I78" s="10"/>
      <c r="J78" s="18" t="n">
        <v>5</v>
      </c>
      <c r="K78" s="9" t="s">
        <v>16</v>
      </c>
      <c r="L78" s="15" t="s">
        <v>30</v>
      </c>
      <c r="M78" s="12" t="s">
        <v>47</v>
      </c>
    </row>
    <row r="79" s="55" customFormat="true" ht="30" hidden="false" customHeight="true" outlineLevel="0" collapsed="false">
      <c r="A79" s="2"/>
      <c r="B79" s="7" t="s">
        <v>49</v>
      </c>
      <c r="C79" s="44" t="s">
        <v>30</v>
      </c>
      <c r="D79" s="61" t="s">
        <v>30</v>
      </c>
      <c r="E79" s="44" t="s">
        <v>30</v>
      </c>
      <c r="F79" s="61" t="s">
        <v>30</v>
      </c>
      <c r="G79" s="9" t="s">
        <v>50</v>
      </c>
      <c r="H79" s="10" t="s">
        <v>167</v>
      </c>
      <c r="I79" s="10" t="n">
        <v>46066</v>
      </c>
      <c r="J79" s="16" t="s">
        <v>95</v>
      </c>
      <c r="K79" s="9" t="s">
        <v>140</v>
      </c>
      <c r="L79" s="10" t="n">
        <v>46081</v>
      </c>
      <c r="M79" s="12" t="s">
        <v>52</v>
      </c>
    </row>
    <row r="80" s="55" customFormat="true" ht="70.45" hidden="false" customHeight="false" outlineLevel="0" collapsed="false">
      <c r="A80" s="2"/>
      <c r="B80" s="7" t="s">
        <v>54</v>
      </c>
      <c r="C80" s="62" t="n">
        <v>1720</v>
      </c>
      <c r="D80" s="63" t="s">
        <v>73</v>
      </c>
      <c r="E80" s="44" t="n">
        <v>2510</v>
      </c>
      <c r="F80" s="8" t="s">
        <v>73</v>
      </c>
      <c r="G80" s="12" t="s">
        <v>168</v>
      </c>
      <c r="H80" s="10" t="s">
        <v>169</v>
      </c>
      <c r="I80" s="10" t="s">
        <v>170</v>
      </c>
      <c r="J80" s="18" t="s">
        <v>171</v>
      </c>
      <c r="K80" s="9" t="s">
        <v>16</v>
      </c>
      <c r="L80" s="10" t="n">
        <v>46096</v>
      </c>
      <c r="M80" s="9" t="s">
        <v>52</v>
      </c>
    </row>
    <row r="81" s="55" customFormat="true" ht="28.9" hidden="false" customHeight="false" outlineLevel="0" collapsed="false">
      <c r="A81" s="2"/>
      <c r="B81" s="14" t="s">
        <v>110</v>
      </c>
      <c r="C81" s="8" t="n">
        <v>1440</v>
      </c>
      <c r="D81" s="8" t="s">
        <v>72</v>
      </c>
      <c r="E81" s="8" t="n">
        <v>2380</v>
      </c>
      <c r="F81" s="8" t="s">
        <v>72</v>
      </c>
      <c r="G81" s="9" t="s">
        <v>14</v>
      </c>
      <c r="H81" s="10" t="s">
        <v>172</v>
      </c>
      <c r="I81" s="10" t="n">
        <v>46089</v>
      </c>
      <c r="J81" s="18" t="s">
        <v>32</v>
      </c>
      <c r="K81" s="9" t="s">
        <v>16</v>
      </c>
      <c r="L81" s="10" t="n">
        <v>46089</v>
      </c>
      <c r="M81" s="9" t="s">
        <v>52</v>
      </c>
    </row>
    <row r="82" s="55" customFormat="true" ht="28.9" hidden="false" customHeight="false" outlineLevel="0" collapsed="false">
      <c r="A82" s="2"/>
      <c r="B82" s="14" t="s">
        <v>110</v>
      </c>
      <c r="C82" s="8" t="n">
        <v>1440</v>
      </c>
      <c r="D82" s="8" t="s">
        <v>72</v>
      </c>
      <c r="E82" s="8" t="n">
        <v>2380</v>
      </c>
      <c r="F82" s="8" t="s">
        <v>72</v>
      </c>
      <c r="G82" s="9" t="s">
        <v>74</v>
      </c>
      <c r="H82" s="10" t="s">
        <v>172</v>
      </c>
      <c r="I82" s="10" t="n">
        <v>46089</v>
      </c>
      <c r="J82" s="18" t="s">
        <v>32</v>
      </c>
      <c r="K82" s="9" t="s">
        <v>16</v>
      </c>
      <c r="L82" s="10" t="n">
        <v>46089</v>
      </c>
      <c r="M82" s="42" t="s">
        <v>96</v>
      </c>
    </row>
    <row r="83" s="55" customFormat="true" ht="16.25" hidden="false" customHeight="false" outlineLevel="0" collapsed="false">
      <c r="A83" s="2"/>
      <c r="B83" s="7" t="s">
        <v>64</v>
      </c>
      <c r="C83" s="44" t="s">
        <v>30</v>
      </c>
      <c r="D83" s="61" t="s">
        <v>30</v>
      </c>
      <c r="E83" s="44" t="s">
        <v>30</v>
      </c>
      <c r="F83" s="61" t="s">
        <v>30</v>
      </c>
      <c r="G83" s="9" t="s">
        <v>61</v>
      </c>
      <c r="H83" s="10" t="s">
        <v>30</v>
      </c>
      <c r="I83" s="10" t="s">
        <v>30</v>
      </c>
      <c r="J83" s="18" t="n">
        <v>5</v>
      </c>
      <c r="K83" s="9" t="s">
        <v>16</v>
      </c>
      <c r="L83" s="10" t="n">
        <v>45961</v>
      </c>
      <c r="M83" s="9" t="s">
        <v>52</v>
      </c>
    </row>
    <row r="84" s="55" customFormat="true" ht="16.25" hidden="false" customHeight="false" outlineLevel="0" collapsed="false">
      <c r="A84" s="2"/>
      <c r="B84" s="7" t="s">
        <v>149</v>
      </c>
      <c r="C84" s="44" t="s">
        <v>30</v>
      </c>
      <c r="D84" s="61" t="s">
        <v>30</v>
      </c>
      <c r="E84" s="44" t="s">
        <v>30</v>
      </c>
      <c r="F84" s="61" t="s">
        <v>30</v>
      </c>
      <c r="G84" s="9" t="s">
        <v>150</v>
      </c>
      <c r="H84" s="10" t="s">
        <v>30</v>
      </c>
      <c r="I84" s="10" t="s">
        <v>30</v>
      </c>
      <c r="J84" s="18" t="n">
        <v>4</v>
      </c>
      <c r="K84" s="9" t="s">
        <v>16</v>
      </c>
      <c r="L84" s="10" t="n">
        <v>45988</v>
      </c>
      <c r="M84" s="9" t="s">
        <v>52</v>
      </c>
    </row>
    <row r="85" s="55" customFormat="true" ht="28.9" hidden="false" customHeight="false" outlineLevel="0" collapsed="false">
      <c r="A85" s="2"/>
      <c r="B85" s="7" t="s">
        <v>66</v>
      </c>
      <c r="C85" s="44" t="n">
        <v>1430</v>
      </c>
      <c r="D85" s="8" t="s">
        <v>73</v>
      </c>
      <c r="E85" s="44" t="n">
        <v>2480</v>
      </c>
      <c r="F85" s="8" t="s">
        <v>73</v>
      </c>
      <c r="G85" s="12" t="s">
        <v>173</v>
      </c>
      <c r="H85" s="10" t="s">
        <v>174</v>
      </c>
      <c r="I85" s="10" t="s">
        <v>175</v>
      </c>
      <c r="J85" s="18" t="n">
        <v>5</v>
      </c>
      <c r="K85" s="9" t="s">
        <v>16</v>
      </c>
      <c r="L85" s="10" t="n">
        <v>46081</v>
      </c>
      <c r="M85" s="9" t="s">
        <v>52</v>
      </c>
      <c r="N85" s="53" t="s">
        <v>75</v>
      </c>
    </row>
    <row r="87" s="31" customFormat="true" ht="15" hidden="false" customHeight="false" outlineLevel="0" collapsed="false">
      <c r="A87" s="36" t="s">
        <v>84</v>
      </c>
    </row>
    <row r="88" s="31" customFormat="true" ht="15" hidden="false" customHeight="false" outlineLevel="0" collapsed="false">
      <c r="A88" s="37" t="s">
        <v>85</v>
      </c>
    </row>
    <row r="89" s="31" customFormat="true" ht="15" hidden="false" customHeight="false" outlineLevel="0" collapsed="false">
      <c r="A89" s="37" t="s">
        <v>86</v>
      </c>
    </row>
    <row r="91" s="31" customFormat="true" ht="22.05" hidden="false" customHeight="false" outlineLevel="0" collapsed="false">
      <c r="L91" s="38" t="s">
        <v>87</v>
      </c>
    </row>
  </sheetData>
  <autoFilter ref="A1:N85"/>
  <mergeCells count="54">
    <mergeCell ref="A1:A13"/>
    <mergeCell ref="C1:D1"/>
    <mergeCell ref="E1:F1"/>
    <mergeCell ref="C2:D2"/>
    <mergeCell ref="E2:F2"/>
    <mergeCell ref="C3:D3"/>
    <mergeCell ref="E3:F3"/>
    <mergeCell ref="C4:D4"/>
    <mergeCell ref="E4:F4"/>
    <mergeCell ref="H4:I4"/>
    <mergeCell ref="C5:D5"/>
    <mergeCell ref="E5:F5"/>
    <mergeCell ref="C6:D6"/>
    <mergeCell ref="E6:F6"/>
    <mergeCell ref="H6:I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A15:A29"/>
    <mergeCell ref="C15:D15"/>
    <mergeCell ref="E15:F15"/>
    <mergeCell ref="H18:I18"/>
    <mergeCell ref="H20:I20"/>
    <mergeCell ref="A31:A43"/>
    <mergeCell ref="C31:D31"/>
    <mergeCell ref="E31:F31"/>
    <mergeCell ref="H34:I34"/>
    <mergeCell ref="H36:I36"/>
    <mergeCell ref="A45:A57"/>
    <mergeCell ref="C45:D45"/>
    <mergeCell ref="E45:F45"/>
    <mergeCell ref="H48:I48"/>
    <mergeCell ref="H50:I50"/>
    <mergeCell ref="A59:A71"/>
    <mergeCell ref="C59:D59"/>
    <mergeCell ref="E59:F59"/>
    <mergeCell ref="H62:I62"/>
    <mergeCell ref="H64:I64"/>
    <mergeCell ref="A73:A85"/>
    <mergeCell ref="C73:D73"/>
    <mergeCell ref="E73:F73"/>
    <mergeCell ref="H76:I76"/>
    <mergeCell ref="H78:I78"/>
  </mergeCells>
  <hyperlinks>
    <hyperlink ref="N2" location="NINGBO!A37" display="Drop off Moscow"/>
    <hyperlink ref="N3" location="NINGBO!A57" display="Drop off Novosibirsk"/>
    <hyperlink ref="N4" location="NINGBO!A71" display="Drop off Ekaterinburg"/>
    <hyperlink ref="N5" location="NINGBO!A85" display="Drop off St.Petersburg"/>
    <hyperlink ref="N29" location="NINGBO!R1C1" display="BACK"/>
    <hyperlink ref="N43" location="NINGBO!R1C1" display="BACK"/>
    <hyperlink ref="N57" location="NINGBO!R1C1" display="BACK"/>
    <hyperlink ref="N71" location="NINGBO!R1C1" display="BACK"/>
    <hyperlink ref="N85" location="NINGBO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2" width="14.75"/>
    <col collapsed="false" customWidth="true" hidden="false" outlineLevel="0" max="2" min="2" style="22" width="15.25"/>
    <col collapsed="false" customWidth="true" hidden="false" outlineLevel="0" max="3" min="3" style="22" width="7.13"/>
    <col collapsed="false" customWidth="true" hidden="false" outlineLevel="0" max="4" min="4" style="22" width="5.12"/>
    <col collapsed="false" customWidth="true" hidden="false" outlineLevel="0" max="5" min="5" style="22" width="7.13"/>
    <col collapsed="false" customWidth="true" hidden="false" outlineLevel="0" max="6" min="6" style="22" width="5.12"/>
    <col collapsed="false" customWidth="true" hidden="false" outlineLevel="0" max="7" min="7" style="22" width="28.5"/>
    <col collapsed="false" customWidth="true" hidden="false" outlineLevel="0" max="8" min="8" style="22" width="21.72"/>
    <col collapsed="false" customWidth="true" hidden="false" outlineLevel="0" max="9" min="9" style="22" width="13.5"/>
    <col collapsed="false" customWidth="false" hidden="false" outlineLevel="0" max="10" min="10" style="22" width="9"/>
    <col collapsed="false" customWidth="false" hidden="false" outlineLevel="0" max="11" min="11" style="64" width="9"/>
    <col collapsed="false" customWidth="true" hidden="false" outlineLevel="0" max="12" min="12" style="22" width="8.36"/>
    <col collapsed="false" customWidth="true" hidden="false" outlineLevel="0" max="13" min="13" style="22" width="19.22"/>
    <col collapsed="false" customWidth="true" hidden="false" outlineLevel="0" max="14" min="14" style="22" width="19.63"/>
    <col collapsed="false" customWidth="false" hidden="false" outlineLevel="0" max="16384" min="15" style="22" width="9"/>
  </cols>
  <sheetData>
    <row r="1" customFormat="false" ht="17.45" hidden="false" customHeight="true" outlineLevel="0" collapsed="false">
      <c r="A1" s="2" t="s">
        <v>185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40" t="s">
        <v>12</v>
      </c>
    </row>
    <row r="2" customFormat="false" ht="28.9" hidden="false" customHeight="false" outlineLevel="0" collapsed="false">
      <c r="A2" s="2"/>
      <c r="B2" s="7" t="s">
        <v>21</v>
      </c>
      <c r="C2" s="8" t="n">
        <v>1310</v>
      </c>
      <c r="D2" s="8"/>
      <c r="E2" s="8" t="n">
        <v>1800</v>
      </c>
      <c r="F2" s="8"/>
      <c r="G2" s="9" t="s">
        <v>22</v>
      </c>
      <c r="H2" s="10" t="s">
        <v>186</v>
      </c>
      <c r="I2" s="10" t="n">
        <v>46078</v>
      </c>
      <c r="J2" s="18" t="s">
        <v>95</v>
      </c>
      <c r="K2" s="65" t="s">
        <v>140</v>
      </c>
      <c r="L2" s="20" t="n">
        <v>46081</v>
      </c>
      <c r="M2" s="12" t="s">
        <v>25</v>
      </c>
      <c r="N2" s="41" t="s">
        <v>18</v>
      </c>
    </row>
    <row r="3" customFormat="false" ht="28.9" hidden="false" customHeight="false" outlineLevel="0" collapsed="false">
      <c r="A3" s="2"/>
      <c r="B3" s="14" t="s">
        <v>27</v>
      </c>
      <c r="C3" s="8" t="n">
        <v>1310</v>
      </c>
      <c r="D3" s="8"/>
      <c r="E3" s="8" t="n">
        <v>1800</v>
      </c>
      <c r="F3" s="8"/>
      <c r="G3" s="9" t="s">
        <v>22</v>
      </c>
      <c r="H3" s="10" t="s">
        <v>186</v>
      </c>
      <c r="I3" s="10" t="n">
        <v>46078</v>
      </c>
      <c r="J3" s="18" t="s">
        <v>95</v>
      </c>
      <c r="K3" s="66" t="s">
        <v>140</v>
      </c>
      <c r="L3" s="20" t="n">
        <v>46081</v>
      </c>
      <c r="M3" s="12" t="s">
        <v>25</v>
      </c>
      <c r="N3" s="41" t="s">
        <v>20</v>
      </c>
    </row>
    <row r="4" customFormat="false" ht="28.9" hidden="false" customHeight="false" outlineLevel="0" collapsed="false">
      <c r="A4" s="2"/>
      <c r="B4" s="7" t="s">
        <v>64</v>
      </c>
      <c r="C4" s="8" t="s">
        <v>177</v>
      </c>
      <c r="D4" s="8"/>
      <c r="E4" s="8" t="s">
        <v>187</v>
      </c>
      <c r="F4" s="8"/>
      <c r="G4" s="9" t="s">
        <v>61</v>
      </c>
      <c r="H4" s="10" t="s">
        <v>188</v>
      </c>
      <c r="I4" s="10" t="n">
        <v>46068</v>
      </c>
      <c r="J4" s="18" t="n">
        <v>6</v>
      </c>
      <c r="K4" s="9" t="s">
        <v>16</v>
      </c>
      <c r="L4" s="10" t="n">
        <v>46068</v>
      </c>
      <c r="M4" s="9" t="s">
        <v>52</v>
      </c>
      <c r="N4" s="41" t="s">
        <v>26</v>
      </c>
    </row>
    <row r="5" customFormat="false" ht="56.6" hidden="false" customHeight="true" outlineLevel="0" collapsed="false">
      <c r="A5" s="2"/>
      <c r="B5" s="7" t="s">
        <v>29</v>
      </c>
      <c r="C5" s="8" t="n">
        <v>1420</v>
      </c>
      <c r="D5" s="8"/>
      <c r="E5" s="8" t="n">
        <v>2020</v>
      </c>
      <c r="F5" s="8"/>
      <c r="G5" s="9" t="s">
        <v>14</v>
      </c>
      <c r="H5" s="10" t="s">
        <v>189</v>
      </c>
      <c r="I5" s="10"/>
      <c r="J5" s="18" t="s">
        <v>95</v>
      </c>
      <c r="K5" s="9" t="s">
        <v>190</v>
      </c>
      <c r="L5" s="10" t="n">
        <v>46081</v>
      </c>
      <c r="M5" s="12" t="s">
        <v>33</v>
      </c>
      <c r="N5" s="41" t="s">
        <v>28</v>
      </c>
    </row>
    <row r="6" customFormat="false" ht="28.9" hidden="false" customHeight="true" outlineLevel="0" collapsed="false">
      <c r="A6" s="2"/>
      <c r="B6" s="7" t="s">
        <v>43</v>
      </c>
      <c r="C6" s="8" t="s">
        <v>30</v>
      </c>
      <c r="D6" s="8"/>
      <c r="E6" s="8" t="s">
        <v>30</v>
      </c>
      <c r="F6" s="8"/>
      <c r="G6" s="9" t="s">
        <v>14</v>
      </c>
      <c r="H6" s="10" t="s">
        <v>30</v>
      </c>
      <c r="I6" s="10"/>
      <c r="J6" s="10" t="s">
        <v>30</v>
      </c>
      <c r="K6" s="10"/>
      <c r="L6" s="61" t="s">
        <v>30</v>
      </c>
      <c r="M6" s="12" t="s">
        <v>47</v>
      </c>
      <c r="N6" s="41" t="s">
        <v>34</v>
      </c>
    </row>
    <row r="7" customFormat="false" ht="28.9" hidden="false" customHeight="false" outlineLevel="0" collapsed="false">
      <c r="A7" s="2"/>
      <c r="B7" s="7" t="s">
        <v>49</v>
      </c>
      <c r="C7" s="8" t="s">
        <v>30</v>
      </c>
      <c r="D7" s="8"/>
      <c r="E7" s="8" t="s">
        <v>30</v>
      </c>
      <c r="F7" s="8"/>
      <c r="G7" s="9" t="s">
        <v>50</v>
      </c>
      <c r="H7" s="25" t="s">
        <v>191</v>
      </c>
      <c r="I7" s="10" t="s">
        <v>192</v>
      </c>
      <c r="J7" s="16" t="s">
        <v>166</v>
      </c>
      <c r="K7" s="9" t="s">
        <v>140</v>
      </c>
      <c r="L7" s="20" t="n">
        <v>46068</v>
      </c>
      <c r="M7" s="12" t="s">
        <v>52</v>
      </c>
      <c r="N7" s="41" t="s">
        <v>42</v>
      </c>
    </row>
    <row r="8" customFormat="false" ht="16.25" hidden="false" customHeight="false" outlineLevel="0" collapsed="false">
      <c r="A8" s="2"/>
      <c r="B8" s="7" t="s">
        <v>149</v>
      </c>
      <c r="C8" s="8" t="s">
        <v>30</v>
      </c>
      <c r="D8" s="8"/>
      <c r="E8" s="8" t="s">
        <v>30</v>
      </c>
      <c r="F8" s="8"/>
      <c r="G8" s="9" t="s">
        <v>150</v>
      </c>
      <c r="H8" s="25" t="s">
        <v>30</v>
      </c>
      <c r="I8" s="10" t="s">
        <v>30</v>
      </c>
      <c r="J8" s="18" t="n">
        <v>6</v>
      </c>
      <c r="K8" s="9" t="s">
        <v>16</v>
      </c>
      <c r="L8" s="10" t="s">
        <v>30</v>
      </c>
      <c r="M8" s="9" t="s">
        <v>52</v>
      </c>
      <c r="N8" s="41" t="s">
        <v>48</v>
      </c>
    </row>
    <row r="10" customFormat="false" ht="15.05" hidden="false" customHeight="true" outlineLevel="0" collapsed="false">
      <c r="A10" s="2" t="s">
        <v>193</v>
      </c>
      <c r="B10" s="3" t="s">
        <v>1</v>
      </c>
      <c r="C10" s="4" t="s">
        <v>70</v>
      </c>
      <c r="D10" s="4"/>
      <c r="E10" s="4" t="s">
        <v>71</v>
      </c>
      <c r="F10" s="4"/>
      <c r="G10" s="4" t="s">
        <v>4</v>
      </c>
      <c r="H10" s="4" t="s">
        <v>5</v>
      </c>
      <c r="I10" s="4" t="s">
        <v>7</v>
      </c>
      <c r="J10" s="4" t="s">
        <v>8</v>
      </c>
      <c r="K10" s="4" t="s">
        <v>9</v>
      </c>
      <c r="L10" s="5" t="s">
        <v>10</v>
      </c>
      <c r="M10" s="5" t="s">
        <v>11</v>
      </c>
    </row>
    <row r="11" customFormat="false" ht="28.9" hidden="false" customHeight="false" outlineLevel="0" collapsed="false">
      <c r="A11" s="2"/>
      <c r="B11" s="7" t="s">
        <v>21</v>
      </c>
      <c r="C11" s="8" t="n">
        <v>1460</v>
      </c>
      <c r="D11" s="8" t="s">
        <v>72</v>
      </c>
      <c r="E11" s="8" t="n">
        <v>1950</v>
      </c>
      <c r="F11" s="8" t="s">
        <v>72</v>
      </c>
      <c r="G11" s="9" t="str">
        <f aca="false">G2</f>
        <v>Vladivostok Commercial / Fish Port</v>
      </c>
      <c r="H11" s="10" t="s">
        <v>186</v>
      </c>
      <c r="I11" s="10" t="n">
        <v>46078</v>
      </c>
      <c r="J11" s="18" t="str">
        <f aca="false">J2</f>
        <v>10~11</v>
      </c>
      <c r="K11" s="65" t="str">
        <f aca="false">K2</f>
        <v>VIA BUSAN</v>
      </c>
      <c r="L11" s="20" t="n">
        <v>46081</v>
      </c>
      <c r="M11" s="12" t="str">
        <f aca="false">M2</f>
        <v>Include DTHC $550/650
DTHC PP/CC Available</v>
      </c>
    </row>
    <row r="12" customFormat="false" ht="28.9" hidden="false" customHeight="false" outlineLevel="0" collapsed="false">
      <c r="A12" s="2"/>
      <c r="B12" s="14" t="s">
        <v>27</v>
      </c>
      <c r="C12" s="8" t="n">
        <v>1460</v>
      </c>
      <c r="D12" s="8" t="s">
        <v>72</v>
      </c>
      <c r="E12" s="8" t="n">
        <v>1950</v>
      </c>
      <c r="F12" s="8" t="s">
        <v>72</v>
      </c>
      <c r="G12" s="9" t="str">
        <f aca="false">G3</f>
        <v>Vladivostok Commercial / Fish Port</v>
      </c>
      <c r="H12" s="10" t="s">
        <v>186</v>
      </c>
      <c r="I12" s="10" t="n">
        <v>46078</v>
      </c>
      <c r="J12" s="18" t="str">
        <f aca="false">J3</f>
        <v>10~11</v>
      </c>
      <c r="K12" s="66" t="str">
        <f aca="false">K3</f>
        <v>VIA BUSAN</v>
      </c>
      <c r="L12" s="20" t="n">
        <v>46081</v>
      </c>
      <c r="M12" s="12" t="str">
        <f aca="false">M3</f>
        <v>Include DTHC $550/650
DTHC PP/CC Available</v>
      </c>
    </row>
    <row r="13" customFormat="false" ht="28.9" hidden="false" customHeight="false" outlineLevel="0" collapsed="false">
      <c r="A13" s="2"/>
      <c r="B13" s="7" t="s">
        <v>64</v>
      </c>
      <c r="C13" s="51" t="s">
        <v>177</v>
      </c>
      <c r="D13" s="8" t="s">
        <v>72</v>
      </c>
      <c r="E13" s="44" t="s">
        <v>187</v>
      </c>
      <c r="F13" s="8" t="s">
        <v>72</v>
      </c>
      <c r="G13" s="9" t="str">
        <f aca="false">G4</f>
        <v>Vostochny</v>
      </c>
      <c r="H13" s="10" t="s">
        <v>188</v>
      </c>
      <c r="I13" s="10" t="n">
        <v>46068</v>
      </c>
      <c r="J13" s="18" t="n">
        <f aca="false">J4</f>
        <v>6</v>
      </c>
      <c r="K13" s="9" t="str">
        <f aca="false">K4</f>
        <v>DIRECT</v>
      </c>
      <c r="L13" s="10" t="n">
        <f aca="false">L4</f>
        <v>46068</v>
      </c>
      <c r="M13" s="9" t="str">
        <f aca="false">M4</f>
        <v>Include DTHC、DDF</v>
      </c>
    </row>
    <row r="14" customFormat="false" ht="56.6" hidden="false" customHeight="false" outlineLevel="0" collapsed="false">
      <c r="A14" s="2"/>
      <c r="B14" s="7" t="s">
        <v>29</v>
      </c>
      <c r="C14" s="8" t="n">
        <v>1520</v>
      </c>
      <c r="D14" s="8" t="s">
        <v>72</v>
      </c>
      <c r="E14" s="8" t="n">
        <v>2420</v>
      </c>
      <c r="F14" s="8" t="s">
        <v>72</v>
      </c>
      <c r="G14" s="9" t="str">
        <f aca="false">G5</f>
        <v>Vladivostok Commercial Port</v>
      </c>
      <c r="H14" s="10" t="str">
        <f aca="false">H5</f>
        <v>Tue &amp; Sat</v>
      </c>
      <c r="I14" s="10"/>
      <c r="J14" s="18" t="str">
        <f aca="false">J5</f>
        <v>10~11</v>
      </c>
      <c r="K14" s="9" t="str">
        <f aca="false">K5</f>
        <v>VIA TAO</v>
      </c>
      <c r="L14" s="58" t="n">
        <f aca="false">L5</f>
        <v>46081</v>
      </c>
      <c r="M14" s="12" t="str">
        <f aca="false">M5</f>
        <v>Include DTHC $400/500
DDF $50/bill
DTHC&amp;DDF PP/CC Available</v>
      </c>
    </row>
    <row r="15" customFormat="false" ht="28.9" hidden="false" customHeight="false" outlineLevel="0" collapsed="false">
      <c r="A15" s="2"/>
      <c r="B15" s="7" t="s">
        <v>43</v>
      </c>
      <c r="C15" s="8" t="s">
        <v>30</v>
      </c>
      <c r="D15" s="8" t="s">
        <v>30</v>
      </c>
      <c r="E15" s="8" t="s">
        <v>30</v>
      </c>
      <c r="F15" s="8" t="s">
        <v>30</v>
      </c>
      <c r="G15" s="9" t="str">
        <f aca="false">G6</f>
        <v>Vladivostok Commercial Port</v>
      </c>
      <c r="H15" s="10" t="str">
        <f aca="false">H6</f>
        <v>/</v>
      </c>
      <c r="I15" s="10"/>
      <c r="J15" s="10" t="str">
        <f aca="false">J6</f>
        <v>/</v>
      </c>
      <c r="K15" s="10"/>
      <c r="L15" s="61" t="str">
        <f aca="false">L6</f>
        <v>/</v>
      </c>
      <c r="M15" s="12" t="str">
        <f aca="false">M6</f>
        <v>Include DTHC $350/450
DTHC PP/CC Available</v>
      </c>
      <c r="N15" s="53"/>
    </row>
    <row r="16" customFormat="false" ht="28.9" hidden="false" customHeight="false" outlineLevel="0" collapsed="false">
      <c r="A16" s="2"/>
      <c r="B16" s="7" t="s">
        <v>49</v>
      </c>
      <c r="C16" s="8" t="s">
        <v>30</v>
      </c>
      <c r="D16" s="8" t="s">
        <v>30</v>
      </c>
      <c r="E16" s="8" t="s">
        <v>30</v>
      </c>
      <c r="F16" s="8" t="s">
        <v>30</v>
      </c>
      <c r="G16" s="9" t="str">
        <f aca="false">G7</f>
        <v>Vladivostok Fish Port</v>
      </c>
      <c r="H16" s="25" t="str">
        <f aca="false">H7</f>
        <v>MSC ISABELLA GT605W
&amp; MSC JADE GT606W</v>
      </c>
      <c r="I16" s="10" t="str">
        <f aca="false">I7</f>
        <v>8-Feb
&amp;13-Feb</v>
      </c>
      <c r="J16" s="16" t="str">
        <f aca="false">J7</f>
        <v>12~13</v>
      </c>
      <c r="K16" s="9" t="str">
        <f aca="false">K7</f>
        <v>VIA BUSAN</v>
      </c>
      <c r="L16" s="20" t="n">
        <f aca="false">L7</f>
        <v>46068</v>
      </c>
      <c r="M16" s="12" t="str">
        <f aca="false">M7</f>
        <v>Include DTHC、DDF</v>
      </c>
      <c r="N16" s="53" t="s">
        <v>75</v>
      </c>
    </row>
    <row r="17" customFormat="false" ht="16.25" hidden="false" customHeight="false" outlineLevel="0" collapsed="false">
      <c r="A17" s="2"/>
      <c r="B17" s="7" t="s">
        <v>149</v>
      </c>
      <c r="C17" s="8" t="s">
        <v>30</v>
      </c>
      <c r="D17" s="8" t="s">
        <v>30</v>
      </c>
      <c r="E17" s="8" t="s">
        <v>30</v>
      </c>
      <c r="F17" s="8" t="s">
        <v>30</v>
      </c>
      <c r="G17" s="9" t="str">
        <f aca="false">G8</f>
        <v>PPK-1</v>
      </c>
      <c r="H17" s="10" t="str">
        <f aca="false">H8</f>
        <v>/</v>
      </c>
      <c r="I17" s="10" t="str">
        <f aca="false">I8</f>
        <v>/</v>
      </c>
      <c r="J17" s="18" t="n">
        <f aca="false">J8</f>
        <v>6</v>
      </c>
      <c r="K17" s="9" t="str">
        <f aca="false">K8</f>
        <v>DIRECT</v>
      </c>
      <c r="L17" s="10" t="str">
        <f aca="false">L8</f>
        <v>/</v>
      </c>
      <c r="M17" s="9" t="str">
        <f aca="false">M8</f>
        <v>Include DTHC、DDF</v>
      </c>
    </row>
    <row r="18" customFormat="false" ht="13.5" hidden="false" customHeight="false" outlineLevel="0" collapsed="false">
      <c r="F18" s="67"/>
      <c r="G18" s="68"/>
    </row>
    <row r="19" customFormat="false" ht="15.05" hidden="false" customHeight="true" outlineLevel="0" collapsed="false">
      <c r="A19" s="2" t="s">
        <v>194</v>
      </c>
      <c r="B19" s="3" t="s">
        <v>1</v>
      </c>
      <c r="C19" s="4" t="s">
        <v>70</v>
      </c>
      <c r="D19" s="4"/>
      <c r="E19" s="4" t="s">
        <v>71</v>
      </c>
      <c r="F19" s="4"/>
      <c r="G19" s="4" t="s">
        <v>4</v>
      </c>
      <c r="H19" s="4" t="s">
        <v>5</v>
      </c>
      <c r="I19" s="4" t="s">
        <v>7</v>
      </c>
      <c r="J19" s="4" t="s">
        <v>8</v>
      </c>
      <c r="K19" s="4" t="s">
        <v>9</v>
      </c>
      <c r="L19" s="5" t="s">
        <v>10</v>
      </c>
      <c r="M19" s="5" t="s">
        <v>11</v>
      </c>
    </row>
    <row r="20" customFormat="false" ht="28.9" hidden="false" customHeight="false" outlineLevel="0" collapsed="false">
      <c r="A20" s="2"/>
      <c r="B20" s="7" t="s">
        <v>21</v>
      </c>
      <c r="C20" s="8" t="n">
        <v>1960</v>
      </c>
      <c r="D20" s="8" t="s">
        <v>73</v>
      </c>
      <c r="E20" s="8" t="n">
        <v>2970</v>
      </c>
      <c r="F20" s="8" t="s">
        <v>73</v>
      </c>
      <c r="G20" s="9" t="str">
        <f aca="false">G11</f>
        <v>Vladivostok Commercial / Fish Port</v>
      </c>
      <c r="H20" s="10" t="s">
        <v>186</v>
      </c>
      <c r="I20" s="10" t="n">
        <v>46078</v>
      </c>
      <c r="J20" s="18" t="str">
        <f aca="false">J11</f>
        <v>10~11</v>
      </c>
      <c r="K20" s="65" t="str">
        <f aca="false">K11</f>
        <v>VIA BUSAN</v>
      </c>
      <c r="L20" s="20" t="n">
        <v>46081</v>
      </c>
      <c r="M20" s="12" t="str">
        <f aca="false">M11</f>
        <v>Include DTHC $550/650
DTHC PP/CC Available</v>
      </c>
    </row>
    <row r="21" customFormat="false" ht="28.9" hidden="false" customHeight="false" outlineLevel="0" collapsed="false">
      <c r="A21" s="2"/>
      <c r="B21" s="14" t="s">
        <v>27</v>
      </c>
      <c r="C21" s="8" t="n">
        <v>1960</v>
      </c>
      <c r="D21" s="8" t="s">
        <v>73</v>
      </c>
      <c r="E21" s="8" t="n">
        <v>2970</v>
      </c>
      <c r="F21" s="8" t="s">
        <v>73</v>
      </c>
      <c r="G21" s="9" t="str">
        <f aca="false">G12</f>
        <v>Vladivostok Commercial / Fish Port</v>
      </c>
      <c r="H21" s="10" t="s">
        <v>186</v>
      </c>
      <c r="I21" s="10" t="n">
        <v>46078</v>
      </c>
      <c r="J21" s="18" t="str">
        <f aca="false">J12</f>
        <v>10~11</v>
      </c>
      <c r="K21" s="66" t="str">
        <f aca="false">K12</f>
        <v>VIA BUSAN</v>
      </c>
      <c r="L21" s="20" t="n">
        <v>46081</v>
      </c>
      <c r="M21" s="12" t="str">
        <f aca="false">M12</f>
        <v>Include DTHC $550/650
DTHC PP/CC Available</v>
      </c>
    </row>
    <row r="22" customFormat="false" ht="28.9" hidden="false" customHeight="false" outlineLevel="0" collapsed="false">
      <c r="A22" s="2"/>
      <c r="B22" s="7" t="s">
        <v>64</v>
      </c>
      <c r="C22" s="51" t="s">
        <v>177</v>
      </c>
      <c r="D22" s="8" t="s">
        <v>73</v>
      </c>
      <c r="E22" s="44" t="s">
        <v>187</v>
      </c>
      <c r="F22" s="8" t="s">
        <v>73</v>
      </c>
      <c r="G22" s="9" t="str">
        <f aca="false">G13</f>
        <v>Vostochny</v>
      </c>
      <c r="H22" s="10" t="s">
        <v>188</v>
      </c>
      <c r="I22" s="10" t="n">
        <v>46068</v>
      </c>
      <c r="J22" s="18" t="n">
        <f aca="false">J13</f>
        <v>6</v>
      </c>
      <c r="K22" s="9" t="str">
        <f aca="false">K13</f>
        <v>DIRECT</v>
      </c>
      <c r="L22" s="10" t="n">
        <f aca="false">L13</f>
        <v>46068</v>
      </c>
      <c r="M22" s="9" t="str">
        <f aca="false">M13</f>
        <v>Include DTHC、DDF</v>
      </c>
    </row>
    <row r="23" customFormat="false" ht="56.6" hidden="false" customHeight="false" outlineLevel="0" collapsed="false">
      <c r="A23" s="2"/>
      <c r="B23" s="7" t="s">
        <v>29</v>
      </c>
      <c r="C23" s="8" t="n">
        <v>2080</v>
      </c>
      <c r="D23" s="8" t="s">
        <v>73</v>
      </c>
      <c r="E23" s="8" t="n">
        <v>3220</v>
      </c>
      <c r="F23" s="8" t="s">
        <v>73</v>
      </c>
      <c r="G23" s="9" t="str">
        <f aca="false">G14</f>
        <v>Vladivostok Commercial Port</v>
      </c>
      <c r="H23" s="10" t="str">
        <f aca="false">H14</f>
        <v>Tue &amp; Sat</v>
      </c>
      <c r="I23" s="10"/>
      <c r="J23" s="18" t="str">
        <f aca="false">J14</f>
        <v>10~11</v>
      </c>
      <c r="K23" s="9" t="str">
        <f aca="false">K14</f>
        <v>VIA TAO</v>
      </c>
      <c r="L23" s="58" t="n">
        <f aca="false">L14</f>
        <v>46081</v>
      </c>
      <c r="M23" s="12" t="str">
        <f aca="false">M14</f>
        <v>Include DTHC $400/500
DDF $50/bill
DTHC&amp;DDF PP/CC Available</v>
      </c>
    </row>
    <row r="24" customFormat="false" ht="28.9" hidden="false" customHeight="false" outlineLevel="0" collapsed="false">
      <c r="A24" s="2"/>
      <c r="B24" s="7" t="s">
        <v>43</v>
      </c>
      <c r="C24" s="8" t="s">
        <v>30</v>
      </c>
      <c r="D24" s="8" t="s">
        <v>30</v>
      </c>
      <c r="E24" s="8" t="s">
        <v>30</v>
      </c>
      <c r="F24" s="8" t="s">
        <v>30</v>
      </c>
      <c r="G24" s="9" t="str">
        <f aca="false">G15</f>
        <v>Vladivostok Commercial Port</v>
      </c>
      <c r="H24" s="10" t="str">
        <f aca="false">H15</f>
        <v>/</v>
      </c>
      <c r="I24" s="10"/>
      <c r="J24" s="10" t="str">
        <f aca="false">J15</f>
        <v>/</v>
      </c>
      <c r="K24" s="10"/>
      <c r="L24" s="61" t="str">
        <f aca="false">L15</f>
        <v>/</v>
      </c>
      <c r="M24" s="12" t="str">
        <f aca="false">M15</f>
        <v>Include DTHC $350/450
DTHC PP/CC Available</v>
      </c>
      <c r="N24" s="53"/>
    </row>
    <row r="25" customFormat="false" ht="28.9" hidden="false" customHeight="false" outlineLevel="0" collapsed="false">
      <c r="A25" s="2"/>
      <c r="B25" s="7" t="s">
        <v>49</v>
      </c>
      <c r="C25" s="8" t="s">
        <v>30</v>
      </c>
      <c r="D25" s="8" t="s">
        <v>30</v>
      </c>
      <c r="E25" s="8" t="s">
        <v>30</v>
      </c>
      <c r="F25" s="8" t="s">
        <v>30</v>
      </c>
      <c r="G25" s="9" t="str">
        <f aca="false">G16</f>
        <v>Vladivostok Fish Port</v>
      </c>
      <c r="H25" s="25" t="str">
        <f aca="false">H16</f>
        <v>MSC ISABELLA GT605W
&amp; MSC JADE GT606W</v>
      </c>
      <c r="I25" s="10" t="str">
        <f aca="false">I16</f>
        <v>8-Feb
&amp;13-Feb</v>
      </c>
      <c r="J25" s="16" t="str">
        <f aca="false">J16</f>
        <v>12~13</v>
      </c>
      <c r="K25" s="9" t="str">
        <f aca="false">K16</f>
        <v>VIA BUSAN</v>
      </c>
      <c r="L25" s="20" t="n">
        <f aca="false">L16</f>
        <v>46068</v>
      </c>
      <c r="M25" s="12" t="str">
        <f aca="false">M16</f>
        <v>Include DTHC、DDF</v>
      </c>
      <c r="N25" s="53" t="s">
        <v>75</v>
      </c>
    </row>
    <row r="26" customFormat="false" ht="16.25" hidden="false" customHeight="false" outlineLevel="0" collapsed="false">
      <c r="A26" s="2"/>
      <c r="B26" s="7" t="s">
        <v>149</v>
      </c>
      <c r="C26" s="8" t="s">
        <v>30</v>
      </c>
      <c r="D26" s="8" t="s">
        <v>30</v>
      </c>
      <c r="E26" s="8" t="s">
        <v>30</v>
      </c>
      <c r="F26" s="8" t="s">
        <v>30</v>
      </c>
      <c r="G26" s="9" t="str">
        <f aca="false">G17</f>
        <v>PPK-1</v>
      </c>
      <c r="H26" s="10" t="str">
        <f aca="false">H17</f>
        <v>/</v>
      </c>
      <c r="I26" s="10" t="str">
        <f aca="false">I17</f>
        <v>/</v>
      </c>
      <c r="J26" s="18" t="n">
        <f aca="false">J17</f>
        <v>6</v>
      </c>
      <c r="K26" s="9" t="str">
        <f aca="false">K17</f>
        <v>DIRECT</v>
      </c>
      <c r="L26" s="10" t="str">
        <f aca="false">L17</f>
        <v>/</v>
      </c>
      <c r="M26" s="9" t="str">
        <f aca="false">M17</f>
        <v>Include DTHC、DDF</v>
      </c>
    </row>
    <row r="27" customFormat="false" ht="13.5" hidden="false" customHeight="false" outlineLevel="0" collapsed="false">
      <c r="F27" s="67"/>
      <c r="G27" s="68"/>
    </row>
    <row r="28" customFormat="false" ht="15.05" hidden="false" customHeight="true" outlineLevel="0" collapsed="false">
      <c r="A28" s="2" t="s">
        <v>195</v>
      </c>
      <c r="B28" s="3" t="s">
        <v>1</v>
      </c>
      <c r="C28" s="4" t="s">
        <v>70</v>
      </c>
      <c r="D28" s="4"/>
      <c r="E28" s="4" t="s">
        <v>71</v>
      </c>
      <c r="F28" s="4"/>
      <c r="G28" s="4" t="s">
        <v>4</v>
      </c>
      <c r="H28" s="4" t="s">
        <v>5</v>
      </c>
      <c r="I28" s="4" t="s">
        <v>7</v>
      </c>
      <c r="J28" s="4" t="s">
        <v>8</v>
      </c>
      <c r="K28" s="4" t="s">
        <v>9</v>
      </c>
      <c r="L28" s="5" t="s">
        <v>10</v>
      </c>
      <c r="M28" s="5" t="s">
        <v>11</v>
      </c>
    </row>
    <row r="29" customFormat="false" ht="28.9" hidden="false" customHeight="false" outlineLevel="0" collapsed="false">
      <c r="A29" s="2"/>
      <c r="B29" s="7" t="s">
        <v>21</v>
      </c>
      <c r="C29" s="8" t="n">
        <v>1760</v>
      </c>
      <c r="D29" s="8" t="s">
        <v>73</v>
      </c>
      <c r="E29" s="8" t="n">
        <v>2750</v>
      </c>
      <c r="F29" s="8" t="s">
        <v>72</v>
      </c>
      <c r="G29" s="9" t="str">
        <f aca="false">G20</f>
        <v>Vladivostok Commercial / Fish Port</v>
      </c>
      <c r="H29" s="10" t="s">
        <v>186</v>
      </c>
      <c r="I29" s="10" t="n">
        <v>46078</v>
      </c>
      <c r="J29" s="18" t="str">
        <f aca="false">J20</f>
        <v>10~11</v>
      </c>
      <c r="K29" s="65" t="str">
        <f aca="false">K20</f>
        <v>VIA BUSAN</v>
      </c>
      <c r="L29" s="20" t="n">
        <v>46081</v>
      </c>
      <c r="M29" s="12" t="str">
        <f aca="false">M20</f>
        <v>Include DTHC $550/650
DTHC PP/CC Available</v>
      </c>
    </row>
    <row r="30" customFormat="false" ht="28.9" hidden="false" customHeight="false" outlineLevel="0" collapsed="false">
      <c r="A30" s="2"/>
      <c r="B30" s="14" t="s">
        <v>27</v>
      </c>
      <c r="C30" s="8" t="n">
        <v>1760</v>
      </c>
      <c r="D30" s="8" t="s">
        <v>73</v>
      </c>
      <c r="E30" s="8" t="n">
        <v>2750</v>
      </c>
      <c r="F30" s="8" t="s">
        <v>72</v>
      </c>
      <c r="G30" s="9" t="str">
        <f aca="false">G21</f>
        <v>Vladivostok Commercial / Fish Port</v>
      </c>
      <c r="H30" s="10" t="s">
        <v>186</v>
      </c>
      <c r="I30" s="10" t="n">
        <v>46078</v>
      </c>
      <c r="J30" s="18" t="str">
        <f aca="false">J21</f>
        <v>10~11</v>
      </c>
      <c r="K30" s="66" t="str">
        <f aca="false">K21</f>
        <v>VIA BUSAN</v>
      </c>
      <c r="L30" s="20" t="n">
        <v>46081</v>
      </c>
      <c r="M30" s="12" t="str">
        <f aca="false">M21</f>
        <v>Include DTHC $550/650
DTHC PP/CC Available</v>
      </c>
    </row>
    <row r="31" customFormat="false" ht="28.9" hidden="false" customHeight="false" outlineLevel="0" collapsed="false">
      <c r="A31" s="2"/>
      <c r="B31" s="7" t="s">
        <v>64</v>
      </c>
      <c r="C31" s="51" t="s">
        <v>177</v>
      </c>
      <c r="D31" s="8" t="s">
        <v>73</v>
      </c>
      <c r="E31" s="44" t="s">
        <v>187</v>
      </c>
      <c r="F31" s="8" t="s">
        <v>73</v>
      </c>
      <c r="G31" s="9" t="str">
        <f aca="false">G22</f>
        <v>Vostochny</v>
      </c>
      <c r="H31" s="10" t="s">
        <v>188</v>
      </c>
      <c r="I31" s="10" t="n">
        <v>46068</v>
      </c>
      <c r="J31" s="18" t="n">
        <f aca="false">J22</f>
        <v>6</v>
      </c>
      <c r="K31" s="9" t="str">
        <f aca="false">K22</f>
        <v>DIRECT</v>
      </c>
      <c r="L31" s="10" t="n">
        <f aca="false">L22</f>
        <v>46068</v>
      </c>
      <c r="M31" s="9" t="str">
        <f aca="false">M22</f>
        <v>Include DTHC、DDF</v>
      </c>
    </row>
    <row r="32" customFormat="false" ht="56.6" hidden="false" customHeight="false" outlineLevel="0" collapsed="false">
      <c r="A32" s="2"/>
      <c r="B32" s="7" t="s">
        <v>29</v>
      </c>
      <c r="C32" s="8" t="n">
        <v>1880</v>
      </c>
      <c r="D32" s="8" t="s">
        <v>73</v>
      </c>
      <c r="E32" s="8" t="n">
        <v>2970</v>
      </c>
      <c r="F32" s="8" t="s">
        <v>73</v>
      </c>
      <c r="G32" s="9" t="str">
        <f aca="false">G23</f>
        <v>Vladivostok Commercial Port</v>
      </c>
      <c r="H32" s="10" t="str">
        <f aca="false">H23</f>
        <v>Tue &amp; Sat</v>
      </c>
      <c r="I32" s="10"/>
      <c r="J32" s="18" t="str">
        <f aca="false">J23</f>
        <v>10~11</v>
      </c>
      <c r="K32" s="9" t="str">
        <f aca="false">K23</f>
        <v>VIA TAO</v>
      </c>
      <c r="L32" s="58" t="n">
        <f aca="false">L23</f>
        <v>46081</v>
      </c>
      <c r="M32" s="12" t="str">
        <f aca="false">M23</f>
        <v>Include DTHC $400/500
DDF $50/bill
DTHC&amp;DDF PP/CC Available</v>
      </c>
    </row>
    <row r="33" customFormat="false" ht="28.9" hidden="false" customHeight="false" outlineLevel="0" collapsed="false">
      <c r="A33" s="2"/>
      <c r="B33" s="7" t="s">
        <v>43</v>
      </c>
      <c r="C33" s="8" t="s">
        <v>30</v>
      </c>
      <c r="D33" s="8" t="s">
        <v>30</v>
      </c>
      <c r="E33" s="8" t="s">
        <v>30</v>
      </c>
      <c r="F33" s="8" t="s">
        <v>30</v>
      </c>
      <c r="G33" s="9" t="str">
        <f aca="false">G24</f>
        <v>Vladivostok Commercial Port</v>
      </c>
      <c r="H33" s="10" t="str">
        <f aca="false">H24</f>
        <v>/</v>
      </c>
      <c r="I33" s="10"/>
      <c r="J33" s="10" t="str">
        <f aca="false">J24</f>
        <v>/</v>
      </c>
      <c r="K33" s="10"/>
      <c r="L33" s="61" t="str">
        <f aca="false">L24</f>
        <v>/</v>
      </c>
      <c r="M33" s="12" t="str">
        <f aca="false">M24</f>
        <v>Include DTHC $350/450
DTHC PP/CC Available</v>
      </c>
      <c r="N33" s="69"/>
    </row>
    <row r="34" customFormat="false" ht="28.9" hidden="false" customHeight="false" outlineLevel="0" collapsed="false">
      <c r="A34" s="2"/>
      <c r="B34" s="7" t="s">
        <v>49</v>
      </c>
      <c r="C34" s="8" t="s">
        <v>30</v>
      </c>
      <c r="D34" s="8" t="s">
        <v>30</v>
      </c>
      <c r="E34" s="8" t="s">
        <v>30</v>
      </c>
      <c r="F34" s="8" t="s">
        <v>30</v>
      </c>
      <c r="G34" s="9" t="str">
        <f aca="false">G25</f>
        <v>Vladivostok Fish Port</v>
      </c>
      <c r="H34" s="25" t="str">
        <f aca="false">H25</f>
        <v>MSC ISABELLA GT605W
&amp; MSC JADE GT606W</v>
      </c>
      <c r="I34" s="10" t="str">
        <f aca="false">I25</f>
        <v>8-Feb
&amp;13-Feb</v>
      </c>
      <c r="J34" s="16" t="str">
        <f aca="false">J25</f>
        <v>12~13</v>
      </c>
      <c r="K34" s="9" t="str">
        <f aca="false">K25</f>
        <v>VIA BUSAN</v>
      </c>
      <c r="L34" s="20" t="n">
        <f aca="false">L25</f>
        <v>46068</v>
      </c>
      <c r="M34" s="12" t="str">
        <f aca="false">M25</f>
        <v>Include DTHC、DDF</v>
      </c>
      <c r="N34" s="53" t="s">
        <v>75</v>
      </c>
    </row>
    <row r="35" customFormat="false" ht="16.25" hidden="false" customHeight="false" outlineLevel="0" collapsed="false">
      <c r="A35" s="2"/>
      <c r="B35" s="7" t="s">
        <v>149</v>
      </c>
      <c r="C35" s="8" t="s">
        <v>30</v>
      </c>
      <c r="D35" s="8" t="s">
        <v>30</v>
      </c>
      <c r="E35" s="8" t="s">
        <v>30</v>
      </c>
      <c r="F35" s="8" t="s">
        <v>30</v>
      </c>
      <c r="G35" s="9" t="str">
        <f aca="false">G26</f>
        <v>PPK-1</v>
      </c>
      <c r="H35" s="10" t="str">
        <f aca="false">H26</f>
        <v>/</v>
      </c>
      <c r="I35" s="10" t="str">
        <f aca="false">I26</f>
        <v>/</v>
      </c>
      <c r="J35" s="18" t="n">
        <f aca="false">J26</f>
        <v>6</v>
      </c>
      <c r="K35" s="9" t="str">
        <f aca="false">K26</f>
        <v>DIRECT</v>
      </c>
      <c r="L35" s="10" t="str">
        <f aca="false">L26</f>
        <v>/</v>
      </c>
      <c r="M35" s="9" t="str">
        <f aca="false">M26</f>
        <v>Include DTHC、DDF</v>
      </c>
    </row>
    <row r="37" customFormat="false" ht="15.05" hidden="false" customHeight="true" outlineLevel="0" collapsed="false">
      <c r="A37" s="2" t="s">
        <v>196</v>
      </c>
      <c r="B37" s="3" t="s">
        <v>1</v>
      </c>
      <c r="C37" s="4" t="s">
        <v>70</v>
      </c>
      <c r="D37" s="4"/>
      <c r="E37" s="4" t="s">
        <v>71</v>
      </c>
      <c r="F37" s="4"/>
      <c r="G37" s="4" t="s">
        <v>4</v>
      </c>
      <c r="H37" s="4" t="s">
        <v>5</v>
      </c>
      <c r="I37" s="4" t="s">
        <v>7</v>
      </c>
      <c r="J37" s="4" t="s">
        <v>8</v>
      </c>
      <c r="K37" s="4" t="s">
        <v>9</v>
      </c>
      <c r="L37" s="5" t="s">
        <v>10</v>
      </c>
      <c r="M37" s="5" t="s">
        <v>11</v>
      </c>
    </row>
    <row r="38" customFormat="false" ht="28.9" hidden="false" customHeight="false" outlineLevel="0" collapsed="false">
      <c r="A38" s="2"/>
      <c r="B38" s="7" t="s">
        <v>21</v>
      </c>
      <c r="C38" s="8" t="n">
        <v>1860</v>
      </c>
      <c r="D38" s="8" t="s">
        <v>73</v>
      </c>
      <c r="E38" s="8" t="n">
        <v>2830</v>
      </c>
      <c r="F38" s="8" t="s">
        <v>73</v>
      </c>
      <c r="G38" s="9" t="str">
        <f aca="false">G29</f>
        <v>Vladivostok Commercial / Fish Port</v>
      </c>
      <c r="H38" s="10" t="s">
        <v>186</v>
      </c>
      <c r="I38" s="10" t="n">
        <v>46078</v>
      </c>
      <c r="J38" s="18" t="str">
        <f aca="false">J29</f>
        <v>10~11</v>
      </c>
      <c r="K38" s="65" t="str">
        <f aca="false">K29</f>
        <v>VIA BUSAN</v>
      </c>
      <c r="L38" s="20" t="n">
        <v>46081</v>
      </c>
      <c r="M38" s="12" t="str">
        <f aca="false">M29</f>
        <v>Include DTHC $550/650
DTHC PP/CC Available</v>
      </c>
    </row>
    <row r="39" customFormat="false" ht="28.9" hidden="false" customHeight="false" outlineLevel="0" collapsed="false">
      <c r="A39" s="2"/>
      <c r="B39" s="14" t="s">
        <v>27</v>
      </c>
      <c r="C39" s="8" t="n">
        <v>1860</v>
      </c>
      <c r="D39" s="8" t="s">
        <v>73</v>
      </c>
      <c r="E39" s="8" t="n">
        <v>2830</v>
      </c>
      <c r="F39" s="8" t="s">
        <v>73</v>
      </c>
      <c r="G39" s="9" t="str">
        <f aca="false">G30</f>
        <v>Vladivostok Commercial / Fish Port</v>
      </c>
      <c r="H39" s="10" t="s">
        <v>186</v>
      </c>
      <c r="I39" s="10" t="n">
        <v>46078</v>
      </c>
      <c r="J39" s="18" t="str">
        <f aca="false">J30</f>
        <v>10~11</v>
      </c>
      <c r="K39" s="66" t="str">
        <f aca="false">K30</f>
        <v>VIA BUSAN</v>
      </c>
      <c r="L39" s="20" t="n">
        <v>46081</v>
      </c>
      <c r="M39" s="12" t="str">
        <f aca="false">M30</f>
        <v>Include DTHC $550/650
DTHC PP/CC Available</v>
      </c>
    </row>
    <row r="40" customFormat="false" ht="28.9" hidden="false" customHeight="false" outlineLevel="0" collapsed="false">
      <c r="A40" s="2"/>
      <c r="B40" s="7" t="s">
        <v>64</v>
      </c>
      <c r="C40" s="51" t="s">
        <v>177</v>
      </c>
      <c r="D40" s="8" t="s">
        <v>73</v>
      </c>
      <c r="E40" s="44" t="s">
        <v>187</v>
      </c>
      <c r="F40" s="8" t="s">
        <v>73</v>
      </c>
      <c r="G40" s="9" t="str">
        <f aca="false">G31</f>
        <v>Vostochny</v>
      </c>
      <c r="H40" s="10" t="s">
        <v>188</v>
      </c>
      <c r="I40" s="10" t="n">
        <v>46068</v>
      </c>
      <c r="J40" s="18" t="n">
        <f aca="false">J31</f>
        <v>6</v>
      </c>
      <c r="K40" s="9" t="str">
        <f aca="false">K31</f>
        <v>DIRECT</v>
      </c>
      <c r="L40" s="10" t="n">
        <f aca="false">L31</f>
        <v>46068</v>
      </c>
      <c r="M40" s="9" t="str">
        <f aca="false">M31</f>
        <v>Include DTHC、DDF</v>
      </c>
    </row>
    <row r="41" customFormat="false" ht="56.6" hidden="false" customHeight="false" outlineLevel="0" collapsed="false">
      <c r="A41" s="2"/>
      <c r="B41" s="7" t="s">
        <v>29</v>
      </c>
      <c r="C41" s="8" t="n">
        <v>1980</v>
      </c>
      <c r="D41" s="8" t="s">
        <v>73</v>
      </c>
      <c r="E41" s="8" t="n">
        <v>3050</v>
      </c>
      <c r="F41" s="8" t="s">
        <v>73</v>
      </c>
      <c r="G41" s="9" t="str">
        <f aca="false">G32</f>
        <v>Vladivostok Commercial Port</v>
      </c>
      <c r="H41" s="10" t="str">
        <f aca="false">H32</f>
        <v>Tue &amp; Sat</v>
      </c>
      <c r="I41" s="10"/>
      <c r="J41" s="18" t="str">
        <f aca="false">J32</f>
        <v>10~11</v>
      </c>
      <c r="K41" s="9" t="str">
        <f aca="false">K32</f>
        <v>VIA TAO</v>
      </c>
      <c r="L41" s="58" t="n">
        <f aca="false">L32</f>
        <v>46081</v>
      </c>
      <c r="M41" s="12" t="str">
        <f aca="false">M32</f>
        <v>Include DTHC $400/500
DDF $50/bill
DTHC&amp;DDF PP/CC Available</v>
      </c>
    </row>
    <row r="42" customFormat="false" ht="28.9" hidden="false" customHeight="false" outlineLevel="0" collapsed="false">
      <c r="A42" s="2"/>
      <c r="B42" s="7" t="s">
        <v>43</v>
      </c>
      <c r="C42" s="8" t="s">
        <v>30</v>
      </c>
      <c r="D42" s="8" t="s">
        <v>30</v>
      </c>
      <c r="E42" s="8" t="s">
        <v>30</v>
      </c>
      <c r="F42" s="8" t="s">
        <v>30</v>
      </c>
      <c r="G42" s="9" t="str">
        <f aca="false">G33</f>
        <v>Vladivostok Commercial Port</v>
      </c>
      <c r="H42" s="10" t="str">
        <f aca="false">H33</f>
        <v>/</v>
      </c>
      <c r="I42" s="10"/>
      <c r="J42" s="10" t="str">
        <f aca="false">J33</f>
        <v>/</v>
      </c>
      <c r="K42" s="10"/>
      <c r="L42" s="61" t="str">
        <f aca="false">L33</f>
        <v>/</v>
      </c>
      <c r="M42" s="12" t="str">
        <f aca="false">M33</f>
        <v>Include DTHC $350/450
DTHC PP/CC Available</v>
      </c>
      <c r="N42" s="69"/>
    </row>
    <row r="43" customFormat="false" ht="28.9" hidden="false" customHeight="false" outlineLevel="0" collapsed="false">
      <c r="A43" s="2"/>
      <c r="B43" s="7" t="s">
        <v>49</v>
      </c>
      <c r="C43" s="8" t="s">
        <v>30</v>
      </c>
      <c r="D43" s="8" t="s">
        <v>30</v>
      </c>
      <c r="E43" s="8" t="s">
        <v>30</v>
      </c>
      <c r="F43" s="8" t="s">
        <v>30</v>
      </c>
      <c r="G43" s="9" t="str">
        <f aca="false">G34</f>
        <v>Vladivostok Fish Port</v>
      </c>
      <c r="H43" s="25" t="str">
        <f aca="false">H34</f>
        <v>MSC ISABELLA GT605W
&amp; MSC JADE GT606W</v>
      </c>
      <c r="I43" s="10" t="str">
        <f aca="false">I34</f>
        <v>8-Feb
&amp;13-Feb</v>
      </c>
      <c r="J43" s="16" t="str">
        <f aca="false">J34</f>
        <v>12~13</v>
      </c>
      <c r="K43" s="9" t="str">
        <f aca="false">K34</f>
        <v>VIA BUSAN</v>
      </c>
      <c r="L43" s="20" t="n">
        <f aca="false">L34</f>
        <v>46068</v>
      </c>
      <c r="M43" s="12" t="str">
        <f aca="false">M34</f>
        <v>Include DTHC、DDF</v>
      </c>
      <c r="N43" s="69" t="s">
        <v>75</v>
      </c>
    </row>
    <row r="44" customFormat="false" ht="16.25" hidden="false" customHeight="false" outlineLevel="0" collapsed="false">
      <c r="A44" s="2"/>
      <c r="B44" s="7" t="s">
        <v>149</v>
      </c>
      <c r="C44" s="8" t="s">
        <v>30</v>
      </c>
      <c r="D44" s="8" t="s">
        <v>30</v>
      </c>
      <c r="E44" s="8" t="s">
        <v>30</v>
      </c>
      <c r="F44" s="8" t="s">
        <v>30</v>
      </c>
      <c r="G44" s="9" t="str">
        <f aca="false">G35</f>
        <v>PPK-1</v>
      </c>
      <c r="H44" s="10" t="str">
        <f aca="false">H35</f>
        <v>/</v>
      </c>
      <c r="I44" s="10" t="str">
        <f aca="false">I35</f>
        <v>/</v>
      </c>
      <c r="J44" s="18" t="n">
        <f aca="false">J35</f>
        <v>6</v>
      </c>
      <c r="K44" s="9" t="str">
        <f aca="false">K35</f>
        <v>DIRECT</v>
      </c>
      <c r="L44" s="10" t="str">
        <f aca="false">L35</f>
        <v>/</v>
      </c>
      <c r="M44" s="9" t="str">
        <f aca="false">M35</f>
        <v>Include DTHC、DDF</v>
      </c>
    </row>
    <row r="46" customFormat="false" ht="15.05" hidden="false" customHeight="true" outlineLevel="0" collapsed="false">
      <c r="A46" s="2" t="s">
        <v>197</v>
      </c>
      <c r="B46" s="3" t="s">
        <v>1</v>
      </c>
      <c r="C46" s="4" t="s">
        <v>70</v>
      </c>
      <c r="D46" s="4"/>
      <c r="E46" s="4" t="s">
        <v>71</v>
      </c>
      <c r="F46" s="4"/>
      <c r="G46" s="4" t="s">
        <v>4</v>
      </c>
      <c r="H46" s="4" t="s">
        <v>5</v>
      </c>
      <c r="I46" s="4" t="s">
        <v>7</v>
      </c>
      <c r="J46" s="4" t="s">
        <v>8</v>
      </c>
      <c r="K46" s="4" t="s">
        <v>9</v>
      </c>
      <c r="L46" s="5" t="s">
        <v>10</v>
      </c>
      <c r="M46" s="5" t="s">
        <v>11</v>
      </c>
    </row>
    <row r="47" customFormat="false" ht="28.9" hidden="false" customHeight="false" outlineLevel="0" collapsed="false">
      <c r="A47" s="2"/>
      <c r="B47" s="7" t="s">
        <v>21</v>
      </c>
      <c r="C47" s="8" t="n">
        <v>1525</v>
      </c>
      <c r="D47" s="8" t="s">
        <v>73</v>
      </c>
      <c r="E47" s="8" t="n">
        <v>2150</v>
      </c>
      <c r="F47" s="8" t="s">
        <v>72</v>
      </c>
      <c r="G47" s="9" t="str">
        <f aca="false">G38</f>
        <v>Vladivostok Commercial / Fish Port</v>
      </c>
      <c r="H47" s="10" t="s">
        <v>186</v>
      </c>
      <c r="I47" s="10" t="n">
        <v>46078</v>
      </c>
      <c r="J47" s="18" t="str">
        <f aca="false">J38</f>
        <v>10~11</v>
      </c>
      <c r="K47" s="65" t="str">
        <f aca="false">K38</f>
        <v>VIA BUSAN</v>
      </c>
      <c r="L47" s="20" t="n">
        <v>46081</v>
      </c>
      <c r="M47" s="12" t="str">
        <f aca="false">M38</f>
        <v>Include DTHC $550/650
DTHC PP/CC Available</v>
      </c>
    </row>
    <row r="48" customFormat="false" ht="28.9" hidden="false" customHeight="false" outlineLevel="0" collapsed="false">
      <c r="A48" s="2"/>
      <c r="B48" s="14" t="s">
        <v>27</v>
      </c>
      <c r="C48" s="8" t="n">
        <v>1525</v>
      </c>
      <c r="D48" s="8" t="s">
        <v>73</v>
      </c>
      <c r="E48" s="8" t="n">
        <v>2150</v>
      </c>
      <c r="F48" s="8" t="s">
        <v>72</v>
      </c>
      <c r="G48" s="9" t="str">
        <f aca="false">G39</f>
        <v>Vladivostok Commercial / Fish Port</v>
      </c>
      <c r="H48" s="10" t="s">
        <v>186</v>
      </c>
      <c r="I48" s="10" t="n">
        <v>46078</v>
      </c>
      <c r="J48" s="18" t="str">
        <f aca="false">J39</f>
        <v>10~11</v>
      </c>
      <c r="K48" s="66" t="str">
        <f aca="false">K39</f>
        <v>VIA BUSAN</v>
      </c>
      <c r="L48" s="20" t="n">
        <v>46081</v>
      </c>
      <c r="M48" s="12" t="str">
        <f aca="false">M39</f>
        <v>Include DTHC $550/650
DTHC PP/CC Available</v>
      </c>
    </row>
    <row r="49" customFormat="false" ht="28.9" hidden="false" customHeight="false" outlineLevel="0" collapsed="false">
      <c r="A49" s="2"/>
      <c r="B49" s="7" t="s">
        <v>64</v>
      </c>
      <c r="C49" s="51" t="s">
        <v>177</v>
      </c>
      <c r="D49" s="8" t="s">
        <v>73</v>
      </c>
      <c r="E49" s="44" t="s">
        <v>187</v>
      </c>
      <c r="F49" s="8" t="s">
        <v>73</v>
      </c>
      <c r="G49" s="9" t="str">
        <f aca="false">G40</f>
        <v>Vostochny</v>
      </c>
      <c r="H49" s="10" t="s">
        <v>188</v>
      </c>
      <c r="I49" s="10" t="n">
        <v>46068</v>
      </c>
      <c r="J49" s="18" t="n">
        <f aca="false">J40</f>
        <v>6</v>
      </c>
      <c r="K49" s="9" t="str">
        <f aca="false">K40</f>
        <v>DIRECT</v>
      </c>
      <c r="L49" s="10" t="n">
        <f aca="false">L40</f>
        <v>46068</v>
      </c>
      <c r="M49" s="9" t="str">
        <f aca="false">M40</f>
        <v>Include DTHC、DDF</v>
      </c>
    </row>
    <row r="50" customFormat="false" ht="56.6" hidden="false" customHeight="false" outlineLevel="0" collapsed="false">
      <c r="A50" s="2"/>
      <c r="B50" s="7" t="s">
        <v>29</v>
      </c>
      <c r="C50" s="61" t="n">
        <v>1650</v>
      </c>
      <c r="D50" s="8" t="s">
        <v>73</v>
      </c>
      <c r="E50" s="61" t="n">
        <v>2695</v>
      </c>
      <c r="F50" s="8" t="s">
        <v>73</v>
      </c>
      <c r="G50" s="9" t="str">
        <f aca="false">G41</f>
        <v>Vladivostok Commercial Port</v>
      </c>
      <c r="H50" s="10" t="str">
        <f aca="false">H41</f>
        <v>Tue &amp; Sat</v>
      </c>
      <c r="I50" s="10"/>
      <c r="J50" s="18" t="str">
        <f aca="false">J41</f>
        <v>10~11</v>
      </c>
      <c r="K50" s="9" t="str">
        <f aca="false">K41</f>
        <v>VIA TAO</v>
      </c>
      <c r="L50" s="58" t="n">
        <f aca="false">L41</f>
        <v>46081</v>
      </c>
      <c r="M50" s="12" t="str">
        <f aca="false">M41</f>
        <v>Include DTHC $400/500
DDF $50/bill
DTHC&amp;DDF PP/CC Available</v>
      </c>
    </row>
    <row r="51" customFormat="false" ht="28.9" hidden="false" customHeight="false" outlineLevel="0" collapsed="false">
      <c r="A51" s="2"/>
      <c r="B51" s="7" t="s">
        <v>43</v>
      </c>
      <c r="C51" s="8" t="s">
        <v>30</v>
      </c>
      <c r="D51" s="8" t="s">
        <v>30</v>
      </c>
      <c r="E51" s="8" t="s">
        <v>30</v>
      </c>
      <c r="F51" s="8" t="s">
        <v>30</v>
      </c>
      <c r="G51" s="9" t="str">
        <f aca="false">G42</f>
        <v>Vladivostok Commercial Port</v>
      </c>
      <c r="H51" s="10" t="str">
        <f aca="false">H42</f>
        <v>/</v>
      </c>
      <c r="I51" s="10"/>
      <c r="J51" s="10" t="str">
        <f aca="false">J42</f>
        <v>/</v>
      </c>
      <c r="K51" s="10"/>
      <c r="L51" s="61" t="str">
        <f aca="false">L42</f>
        <v>/</v>
      </c>
      <c r="M51" s="12" t="str">
        <f aca="false">M42</f>
        <v>Include DTHC $350/450
DTHC PP/CC Available</v>
      </c>
      <c r="N51" s="69"/>
    </row>
    <row r="52" customFormat="false" ht="28.9" hidden="false" customHeight="false" outlineLevel="0" collapsed="false">
      <c r="A52" s="2"/>
      <c r="B52" s="7" t="s">
        <v>49</v>
      </c>
      <c r="C52" s="8" t="s">
        <v>30</v>
      </c>
      <c r="D52" s="8" t="s">
        <v>30</v>
      </c>
      <c r="E52" s="8" t="s">
        <v>30</v>
      </c>
      <c r="F52" s="8" t="s">
        <v>30</v>
      </c>
      <c r="G52" s="9" t="str">
        <f aca="false">G43</f>
        <v>Vladivostok Fish Port</v>
      </c>
      <c r="H52" s="25" t="str">
        <f aca="false">H43</f>
        <v>MSC ISABELLA GT605W
&amp; MSC JADE GT606W</v>
      </c>
      <c r="I52" s="10" t="str">
        <f aca="false">I43</f>
        <v>8-Feb
&amp;13-Feb</v>
      </c>
      <c r="J52" s="16" t="str">
        <f aca="false">J43</f>
        <v>12~13</v>
      </c>
      <c r="K52" s="9" t="str">
        <f aca="false">K43</f>
        <v>VIA BUSAN</v>
      </c>
      <c r="L52" s="20" t="n">
        <f aca="false">L43</f>
        <v>46068</v>
      </c>
      <c r="M52" s="12" t="str">
        <f aca="false">M43</f>
        <v>Include DTHC、DDF</v>
      </c>
      <c r="N52" s="53" t="s">
        <v>75</v>
      </c>
    </row>
    <row r="53" customFormat="false" ht="16.25" hidden="false" customHeight="false" outlineLevel="0" collapsed="false">
      <c r="A53" s="2"/>
      <c r="B53" s="7" t="s">
        <v>149</v>
      </c>
      <c r="C53" s="8" t="s">
        <v>30</v>
      </c>
      <c r="D53" s="8" t="s">
        <v>30</v>
      </c>
      <c r="E53" s="8" t="s">
        <v>30</v>
      </c>
      <c r="F53" s="8" t="s">
        <v>30</v>
      </c>
      <c r="G53" s="9" t="str">
        <f aca="false">G44</f>
        <v>PPK-1</v>
      </c>
      <c r="H53" s="10" t="str">
        <f aca="false">H44</f>
        <v>/</v>
      </c>
      <c r="I53" s="10" t="str">
        <f aca="false">I44</f>
        <v>/</v>
      </c>
      <c r="J53" s="18" t="n">
        <f aca="false">J44</f>
        <v>6</v>
      </c>
      <c r="K53" s="9" t="str">
        <f aca="false">K44</f>
        <v>DIRECT</v>
      </c>
      <c r="L53" s="10" t="str">
        <f aca="false">L44</f>
        <v>/</v>
      </c>
      <c r="M53" s="9" t="str">
        <f aca="false">M44</f>
        <v>Include DTHC、DDF</v>
      </c>
    </row>
    <row r="55" customFormat="false" ht="15.05" hidden="false" customHeight="true" outlineLevel="0" collapsed="false">
      <c r="A55" s="2" t="s">
        <v>198</v>
      </c>
      <c r="B55" s="3" t="s">
        <v>1</v>
      </c>
      <c r="C55" s="4" t="s">
        <v>70</v>
      </c>
      <c r="D55" s="4"/>
      <c r="E55" s="4" t="s">
        <v>71</v>
      </c>
      <c r="F55" s="4"/>
      <c r="G55" s="4" t="s">
        <v>4</v>
      </c>
      <c r="H55" s="4" t="s">
        <v>5</v>
      </c>
      <c r="I55" s="4" t="s">
        <v>7</v>
      </c>
      <c r="J55" s="4" t="s">
        <v>8</v>
      </c>
      <c r="K55" s="4" t="s">
        <v>9</v>
      </c>
      <c r="L55" s="5" t="s">
        <v>10</v>
      </c>
      <c r="M55" s="5" t="s">
        <v>11</v>
      </c>
    </row>
    <row r="56" customFormat="false" ht="28.9" hidden="false" customHeight="false" outlineLevel="0" collapsed="false">
      <c r="A56" s="2"/>
      <c r="B56" s="7" t="s">
        <v>21</v>
      </c>
      <c r="C56" s="8" t="n">
        <v>1760</v>
      </c>
      <c r="D56" s="8" t="s">
        <v>72</v>
      </c>
      <c r="E56" s="8" t="n">
        <v>2650</v>
      </c>
      <c r="F56" s="8" t="s">
        <v>72</v>
      </c>
      <c r="G56" s="9" t="str">
        <f aca="false">G47</f>
        <v>Vladivostok Commercial / Fish Port</v>
      </c>
      <c r="H56" s="10" t="s">
        <v>186</v>
      </c>
      <c r="I56" s="10" t="n">
        <v>46078</v>
      </c>
      <c r="J56" s="18" t="str">
        <f aca="false">J47</f>
        <v>10~11</v>
      </c>
      <c r="K56" s="65" t="str">
        <f aca="false">K47</f>
        <v>VIA BUSAN</v>
      </c>
      <c r="L56" s="20" t="n">
        <v>46081</v>
      </c>
      <c r="M56" s="12" t="str">
        <f aca="false">M47</f>
        <v>Include DTHC $550/650
DTHC PP/CC Available</v>
      </c>
    </row>
    <row r="57" customFormat="false" ht="28.9" hidden="false" customHeight="false" outlineLevel="0" collapsed="false">
      <c r="A57" s="2"/>
      <c r="B57" s="14" t="s">
        <v>27</v>
      </c>
      <c r="C57" s="8" t="n">
        <v>1760</v>
      </c>
      <c r="D57" s="8" t="s">
        <v>72</v>
      </c>
      <c r="E57" s="8" t="n">
        <v>2650</v>
      </c>
      <c r="F57" s="8" t="s">
        <v>72</v>
      </c>
      <c r="G57" s="9" t="str">
        <f aca="false">G48</f>
        <v>Vladivostok Commercial / Fish Port</v>
      </c>
      <c r="H57" s="10" t="s">
        <v>186</v>
      </c>
      <c r="I57" s="10" t="n">
        <v>46078</v>
      </c>
      <c r="J57" s="18" t="str">
        <f aca="false">J48</f>
        <v>10~11</v>
      </c>
      <c r="K57" s="66" t="str">
        <f aca="false">K48</f>
        <v>VIA BUSAN</v>
      </c>
      <c r="L57" s="20" t="n">
        <v>46081</v>
      </c>
      <c r="M57" s="12" t="str">
        <f aca="false">M48</f>
        <v>Include DTHC $550/650
DTHC PP/CC Available</v>
      </c>
    </row>
    <row r="58" customFormat="false" ht="28.9" hidden="false" customHeight="false" outlineLevel="0" collapsed="false">
      <c r="A58" s="2"/>
      <c r="B58" s="7" t="s">
        <v>64</v>
      </c>
      <c r="C58" s="51" t="s">
        <v>177</v>
      </c>
      <c r="D58" s="8" t="s">
        <v>73</v>
      </c>
      <c r="E58" s="44" t="s">
        <v>187</v>
      </c>
      <c r="F58" s="8" t="s">
        <v>73</v>
      </c>
      <c r="G58" s="9" t="str">
        <f aca="false">G49</f>
        <v>Vostochny</v>
      </c>
      <c r="H58" s="10" t="s">
        <v>188</v>
      </c>
      <c r="I58" s="10" t="n">
        <v>46068</v>
      </c>
      <c r="J58" s="18" t="n">
        <f aca="false">J49</f>
        <v>6</v>
      </c>
      <c r="K58" s="9" t="str">
        <f aca="false">K49</f>
        <v>DIRECT</v>
      </c>
      <c r="L58" s="10" t="n">
        <f aca="false">L49</f>
        <v>46068</v>
      </c>
      <c r="M58" s="9" t="str">
        <f aca="false">M49</f>
        <v>Include DTHC、DDF</v>
      </c>
    </row>
    <row r="59" customFormat="false" ht="56.6" hidden="false" customHeight="false" outlineLevel="0" collapsed="false">
      <c r="A59" s="2"/>
      <c r="B59" s="7" t="s">
        <v>29</v>
      </c>
      <c r="C59" s="8" t="n">
        <v>1930</v>
      </c>
      <c r="D59" s="8" t="s">
        <v>73</v>
      </c>
      <c r="E59" s="8" t="n">
        <v>3000</v>
      </c>
      <c r="F59" s="8" t="s">
        <v>73</v>
      </c>
      <c r="G59" s="9" t="str">
        <f aca="false">G50</f>
        <v>Vladivostok Commercial Port</v>
      </c>
      <c r="H59" s="10" t="str">
        <f aca="false">H50</f>
        <v>Tue &amp; Sat</v>
      </c>
      <c r="I59" s="10"/>
      <c r="J59" s="18" t="str">
        <f aca="false">J50</f>
        <v>10~11</v>
      </c>
      <c r="K59" s="9" t="str">
        <f aca="false">K50</f>
        <v>VIA TAO</v>
      </c>
      <c r="L59" s="58" t="n">
        <f aca="false">L50</f>
        <v>46081</v>
      </c>
      <c r="M59" s="12" t="str">
        <f aca="false">M50</f>
        <v>Include DTHC $400/500
DDF $50/bill
DTHC&amp;DDF PP/CC Available</v>
      </c>
      <c r="N59" s="53" t="s">
        <v>75</v>
      </c>
    </row>
    <row r="60" customFormat="false" ht="28.9" hidden="false" customHeight="false" outlineLevel="0" collapsed="false">
      <c r="A60" s="2"/>
      <c r="B60" s="7" t="s">
        <v>43</v>
      </c>
      <c r="C60" s="8" t="s">
        <v>30</v>
      </c>
      <c r="D60" s="8" t="s">
        <v>30</v>
      </c>
      <c r="E60" s="8" t="s">
        <v>30</v>
      </c>
      <c r="F60" s="8" t="s">
        <v>30</v>
      </c>
      <c r="G60" s="9" t="str">
        <f aca="false">G51</f>
        <v>Vladivostok Commercial Port</v>
      </c>
      <c r="H60" s="10" t="str">
        <f aca="false">H51</f>
        <v>/</v>
      </c>
      <c r="I60" s="10"/>
      <c r="J60" s="10" t="str">
        <f aca="false">J51</f>
        <v>/</v>
      </c>
      <c r="K60" s="10"/>
      <c r="L60" s="61" t="str">
        <f aca="false">L51</f>
        <v>/</v>
      </c>
      <c r="M60" s="12" t="str">
        <f aca="false">M51</f>
        <v>Include DTHC $350/450
DTHC PP/CC Available</v>
      </c>
    </row>
    <row r="61" customFormat="false" ht="28.9" hidden="false" customHeight="false" outlineLevel="0" collapsed="false">
      <c r="A61" s="2"/>
      <c r="B61" s="7" t="s">
        <v>49</v>
      </c>
      <c r="C61" s="8" t="s">
        <v>30</v>
      </c>
      <c r="D61" s="8" t="s">
        <v>30</v>
      </c>
      <c r="E61" s="8" t="s">
        <v>30</v>
      </c>
      <c r="F61" s="8" t="s">
        <v>30</v>
      </c>
      <c r="G61" s="9" t="str">
        <f aca="false">G52</f>
        <v>Vladivostok Fish Port</v>
      </c>
      <c r="H61" s="25" t="str">
        <f aca="false">H52</f>
        <v>MSC ISABELLA GT605W
&amp; MSC JADE GT606W</v>
      </c>
      <c r="I61" s="10" t="str">
        <f aca="false">I52</f>
        <v>8-Feb
&amp;13-Feb</v>
      </c>
      <c r="J61" s="16" t="str">
        <f aca="false">J52</f>
        <v>12~13</v>
      </c>
      <c r="K61" s="9" t="str">
        <f aca="false">K52</f>
        <v>VIA BUSAN</v>
      </c>
      <c r="L61" s="20" t="n">
        <f aca="false">L52</f>
        <v>46068</v>
      </c>
      <c r="M61" s="12" t="str">
        <f aca="false">M52</f>
        <v>Include DTHC、DDF</v>
      </c>
    </row>
    <row r="62" customFormat="false" ht="16.25" hidden="false" customHeight="false" outlineLevel="0" collapsed="false">
      <c r="A62" s="2"/>
      <c r="B62" s="7" t="s">
        <v>149</v>
      </c>
      <c r="C62" s="8" t="s">
        <v>30</v>
      </c>
      <c r="D62" s="8" t="s">
        <v>30</v>
      </c>
      <c r="E62" s="8" t="s">
        <v>30</v>
      </c>
      <c r="F62" s="8" t="s">
        <v>30</v>
      </c>
      <c r="G62" s="9" t="str">
        <f aca="false">G53</f>
        <v>PPK-1</v>
      </c>
      <c r="H62" s="10" t="str">
        <f aca="false">H53</f>
        <v>/</v>
      </c>
      <c r="I62" s="10" t="str">
        <f aca="false">I53</f>
        <v>/</v>
      </c>
      <c r="J62" s="18" t="n">
        <f aca="false">J53</f>
        <v>6</v>
      </c>
      <c r="K62" s="9" t="str">
        <f aca="false">K53</f>
        <v>DIRECT</v>
      </c>
      <c r="L62" s="10" t="str">
        <f aca="false">L53</f>
        <v>/</v>
      </c>
      <c r="M62" s="9" t="str">
        <f aca="false">M53</f>
        <v>Include DTHC、DDF</v>
      </c>
    </row>
    <row r="64" customFormat="false" ht="15.05" hidden="false" customHeight="true" outlineLevel="0" collapsed="false">
      <c r="A64" s="2" t="s">
        <v>199</v>
      </c>
      <c r="B64" s="26" t="s">
        <v>1</v>
      </c>
      <c r="C64" s="4" t="s">
        <v>70</v>
      </c>
      <c r="D64" s="4"/>
      <c r="E64" s="4" t="s">
        <v>71</v>
      </c>
      <c r="F64" s="4"/>
      <c r="G64" s="4" t="s">
        <v>4</v>
      </c>
      <c r="H64" s="4" t="s">
        <v>5</v>
      </c>
      <c r="I64" s="4" t="s">
        <v>7</v>
      </c>
      <c r="J64" s="4" t="s">
        <v>8</v>
      </c>
      <c r="K64" s="4" t="s">
        <v>9</v>
      </c>
      <c r="L64" s="5" t="s">
        <v>10</v>
      </c>
      <c r="M64" s="5" t="s">
        <v>11</v>
      </c>
    </row>
    <row r="65" customFormat="false" ht="28.9" hidden="false" customHeight="false" outlineLevel="0" collapsed="false">
      <c r="A65" s="2"/>
      <c r="B65" s="4" t="s">
        <v>21</v>
      </c>
      <c r="C65" s="8" t="n">
        <v>1425</v>
      </c>
      <c r="D65" s="8" t="s">
        <v>73</v>
      </c>
      <c r="E65" s="8" t="n">
        <v>2150</v>
      </c>
      <c r="F65" s="8" t="s">
        <v>72</v>
      </c>
      <c r="G65" s="9" t="str">
        <f aca="false">G56</f>
        <v>Vladivostok Commercial / Fish Port</v>
      </c>
      <c r="H65" s="10" t="s">
        <v>186</v>
      </c>
      <c r="I65" s="10" t="n">
        <v>46078</v>
      </c>
      <c r="J65" s="18" t="str">
        <f aca="false">J56</f>
        <v>10~11</v>
      </c>
      <c r="K65" s="65" t="str">
        <f aca="false">K56</f>
        <v>VIA BUSAN</v>
      </c>
      <c r="L65" s="20" t="n">
        <v>46081</v>
      </c>
      <c r="M65" s="12" t="str">
        <f aca="false">M56</f>
        <v>Include DTHC $550/650
DTHC PP/CC Available</v>
      </c>
    </row>
    <row r="66" customFormat="false" ht="28.9" hidden="false" customHeight="false" outlineLevel="0" collapsed="false">
      <c r="A66" s="2"/>
      <c r="B66" s="4" t="s">
        <v>27</v>
      </c>
      <c r="C66" s="8" t="n">
        <v>1425</v>
      </c>
      <c r="D66" s="8" t="s">
        <v>73</v>
      </c>
      <c r="E66" s="8" t="n">
        <v>2150</v>
      </c>
      <c r="F66" s="8" t="s">
        <v>72</v>
      </c>
      <c r="G66" s="9" t="str">
        <f aca="false">G57</f>
        <v>Vladivostok Commercial / Fish Port</v>
      </c>
      <c r="H66" s="10" t="s">
        <v>186</v>
      </c>
      <c r="I66" s="10" t="n">
        <v>46078</v>
      </c>
      <c r="J66" s="18" t="str">
        <f aca="false">J57</f>
        <v>10~11</v>
      </c>
      <c r="K66" s="66" t="str">
        <f aca="false">K57</f>
        <v>VIA BUSAN</v>
      </c>
      <c r="L66" s="20" t="n">
        <v>46081</v>
      </c>
      <c r="M66" s="12" t="str">
        <f aca="false">M57</f>
        <v>Include DTHC $550/650
DTHC PP/CC Available</v>
      </c>
    </row>
    <row r="67" customFormat="false" ht="28.9" hidden="false" customHeight="false" outlineLevel="0" collapsed="false">
      <c r="A67" s="2"/>
      <c r="B67" s="4" t="s">
        <v>64</v>
      </c>
      <c r="C67" s="51" t="s">
        <v>177</v>
      </c>
      <c r="D67" s="8" t="s">
        <v>73</v>
      </c>
      <c r="E67" s="44" t="s">
        <v>187</v>
      </c>
      <c r="F67" s="8" t="s">
        <v>73</v>
      </c>
      <c r="G67" s="9" t="str">
        <f aca="false">G58</f>
        <v>Vostochny</v>
      </c>
      <c r="H67" s="10" t="s">
        <v>188</v>
      </c>
      <c r="I67" s="10" t="n">
        <v>46068</v>
      </c>
      <c r="J67" s="18" t="n">
        <f aca="false">J58</f>
        <v>6</v>
      </c>
      <c r="K67" s="9" t="str">
        <f aca="false">K58</f>
        <v>DIRECT</v>
      </c>
      <c r="L67" s="10" t="n">
        <f aca="false">L58</f>
        <v>46068</v>
      </c>
      <c r="M67" s="9" t="str">
        <f aca="false">M58</f>
        <v>Include DTHC、DDF</v>
      </c>
    </row>
    <row r="68" customFormat="false" ht="56.6" hidden="false" customHeight="false" outlineLevel="0" collapsed="false">
      <c r="A68" s="2"/>
      <c r="B68" s="4" t="s">
        <v>29</v>
      </c>
      <c r="C68" s="61" t="n">
        <v>1550</v>
      </c>
      <c r="D68" s="8" t="s">
        <v>73</v>
      </c>
      <c r="E68" s="8" t="n">
        <v>2520</v>
      </c>
      <c r="F68" s="8" t="s">
        <v>73</v>
      </c>
      <c r="G68" s="9" t="str">
        <f aca="false">G59</f>
        <v>Vladivostok Commercial Port</v>
      </c>
      <c r="H68" s="10" t="str">
        <f aca="false">H59</f>
        <v>Tue &amp; Sat</v>
      </c>
      <c r="I68" s="10"/>
      <c r="J68" s="18" t="str">
        <f aca="false">J59</f>
        <v>10~11</v>
      </c>
      <c r="K68" s="9" t="str">
        <f aca="false">K59</f>
        <v>VIA TAO</v>
      </c>
      <c r="L68" s="58" t="n">
        <f aca="false">L59</f>
        <v>46081</v>
      </c>
      <c r="M68" s="12" t="str">
        <f aca="false">M59</f>
        <v>Include DTHC $400/500
DDF $50/bill
DTHC&amp;DDF PP/CC Available</v>
      </c>
    </row>
    <row r="69" customFormat="false" ht="28.9" hidden="false" customHeight="false" outlineLevel="0" collapsed="false">
      <c r="A69" s="2"/>
      <c r="B69" s="4" t="s">
        <v>43</v>
      </c>
      <c r="C69" s="8" t="s">
        <v>30</v>
      </c>
      <c r="D69" s="8" t="s">
        <v>30</v>
      </c>
      <c r="E69" s="8" t="s">
        <v>30</v>
      </c>
      <c r="F69" s="8" t="s">
        <v>30</v>
      </c>
      <c r="G69" s="9" t="str">
        <f aca="false">G60</f>
        <v>Vladivostok Commercial Port</v>
      </c>
      <c r="H69" s="10" t="str">
        <f aca="false">H60</f>
        <v>/</v>
      </c>
      <c r="I69" s="10"/>
      <c r="J69" s="10" t="str">
        <f aca="false">J60</f>
        <v>/</v>
      </c>
      <c r="K69" s="10"/>
      <c r="L69" s="61" t="str">
        <f aca="false">L60</f>
        <v>/</v>
      </c>
      <c r="M69" s="12" t="str">
        <f aca="false">M60</f>
        <v>Include DTHC $350/450
DTHC PP/CC Available</v>
      </c>
    </row>
    <row r="70" customFormat="false" ht="28.9" hidden="false" customHeight="false" outlineLevel="0" collapsed="false">
      <c r="A70" s="2"/>
      <c r="B70" s="4" t="s">
        <v>49</v>
      </c>
      <c r="C70" s="8" t="s">
        <v>30</v>
      </c>
      <c r="D70" s="8" t="s">
        <v>30</v>
      </c>
      <c r="E70" s="8" t="s">
        <v>30</v>
      </c>
      <c r="F70" s="8" t="s">
        <v>30</v>
      </c>
      <c r="G70" s="9" t="str">
        <f aca="false">G61</f>
        <v>Vladivostok Fish Port</v>
      </c>
      <c r="H70" s="25" t="str">
        <f aca="false">H61</f>
        <v>MSC ISABELLA GT605W
&amp; MSC JADE GT606W</v>
      </c>
      <c r="I70" s="10" t="str">
        <f aca="false">I61</f>
        <v>8-Feb
&amp;13-Feb</v>
      </c>
      <c r="J70" s="16" t="str">
        <f aca="false">J61</f>
        <v>12~13</v>
      </c>
      <c r="K70" s="9" t="str">
        <f aca="false">K61</f>
        <v>VIA BUSAN</v>
      </c>
      <c r="L70" s="20" t="n">
        <f aca="false">L61</f>
        <v>46068</v>
      </c>
      <c r="M70" s="12" t="str">
        <f aca="false">M61</f>
        <v>Include DTHC、DDF</v>
      </c>
      <c r="N70" s="53" t="s">
        <v>75</v>
      </c>
    </row>
    <row r="71" customFormat="false" ht="22.05" hidden="false" customHeight="false" outlineLevel="0" collapsed="false">
      <c r="A71" s="70"/>
      <c r="B71" s="71"/>
      <c r="C71" s="71"/>
      <c r="D71" s="71"/>
      <c r="E71" s="71"/>
      <c r="F71" s="71"/>
      <c r="G71" s="71"/>
      <c r="J71" s="71"/>
      <c r="K71" s="38"/>
      <c r="L71" s="71"/>
      <c r="M71" s="71"/>
    </row>
    <row r="72" s="31" customFormat="true" ht="15" hidden="false" customHeight="false" outlineLevel="0" collapsed="false">
      <c r="A72" s="36" t="s">
        <v>84</v>
      </c>
    </row>
    <row r="73" s="31" customFormat="true" ht="15" hidden="false" customHeight="false" outlineLevel="0" collapsed="false">
      <c r="A73" s="37" t="s">
        <v>85</v>
      </c>
    </row>
    <row r="74" s="31" customFormat="true" ht="15" hidden="false" customHeight="false" outlineLevel="0" collapsed="false">
      <c r="A74" s="37" t="s">
        <v>86</v>
      </c>
    </row>
    <row r="75" s="31" customFormat="true" ht="13.5" hidden="false" customHeight="false" outlineLevel="0" collapsed="false"/>
    <row r="76" s="31" customFormat="true" ht="22.05" hidden="false" customHeight="false" outlineLevel="0" collapsed="false">
      <c r="L76" s="38" t="s">
        <v>87</v>
      </c>
    </row>
  </sheetData>
  <autoFilter ref="A1:N70"/>
  <mergeCells count="62">
    <mergeCell ref="A1:A8"/>
    <mergeCell ref="C1:D1"/>
    <mergeCell ref="E1:F1"/>
    <mergeCell ref="C2:D2"/>
    <mergeCell ref="E2:F2"/>
    <mergeCell ref="C3:D3"/>
    <mergeCell ref="E3:F3"/>
    <mergeCell ref="C4:D4"/>
    <mergeCell ref="E4:F4"/>
    <mergeCell ref="C5:D5"/>
    <mergeCell ref="E5:F5"/>
    <mergeCell ref="H5:I5"/>
    <mergeCell ref="C6:D6"/>
    <mergeCell ref="E6:F6"/>
    <mergeCell ref="H6:I6"/>
    <mergeCell ref="J6:K6"/>
    <mergeCell ref="C7:D7"/>
    <mergeCell ref="E7:F7"/>
    <mergeCell ref="C8:D8"/>
    <mergeCell ref="E8:F8"/>
    <mergeCell ref="A10:A17"/>
    <mergeCell ref="C10:D10"/>
    <mergeCell ref="E10:F10"/>
    <mergeCell ref="H14:I14"/>
    <mergeCell ref="H15:I15"/>
    <mergeCell ref="J15:K15"/>
    <mergeCell ref="A19:A26"/>
    <mergeCell ref="C19:D19"/>
    <mergeCell ref="E19:F19"/>
    <mergeCell ref="H23:I23"/>
    <mergeCell ref="H24:I24"/>
    <mergeCell ref="J24:K24"/>
    <mergeCell ref="A28:A35"/>
    <mergeCell ref="C28:D28"/>
    <mergeCell ref="E28:F28"/>
    <mergeCell ref="H32:I32"/>
    <mergeCell ref="H33:I33"/>
    <mergeCell ref="J33:K33"/>
    <mergeCell ref="A37:A44"/>
    <mergeCell ref="C37:D37"/>
    <mergeCell ref="E37:F37"/>
    <mergeCell ref="H41:I41"/>
    <mergeCell ref="H42:I42"/>
    <mergeCell ref="J42:K42"/>
    <mergeCell ref="A46:A53"/>
    <mergeCell ref="C46:D46"/>
    <mergeCell ref="E46:F46"/>
    <mergeCell ref="H50:I50"/>
    <mergeCell ref="H51:I51"/>
    <mergeCell ref="J51:K51"/>
    <mergeCell ref="A55:A62"/>
    <mergeCell ref="C55:D55"/>
    <mergeCell ref="E55:F55"/>
    <mergeCell ref="H59:I59"/>
    <mergeCell ref="H60:I60"/>
    <mergeCell ref="J60:K60"/>
    <mergeCell ref="A64:A70"/>
    <mergeCell ref="C64:D64"/>
    <mergeCell ref="E64:F64"/>
    <mergeCell ref="H68:I68"/>
    <mergeCell ref="H69:I69"/>
    <mergeCell ref="J69:K69"/>
  </mergeCells>
  <hyperlinks>
    <hyperlink ref="N2" location="DALIAN!R15C1" display="Drop off Vladivostok"/>
    <hyperlink ref="N3" location="DALIAN!R23C1" display="Drop off Moscow"/>
    <hyperlink ref="N4" location="DALIAN!R31C1" display="Drop off Novosibirsk"/>
    <hyperlink ref="N5" location="DALIAN!R39C1" display="Drop off Ekaterinburg"/>
    <hyperlink ref="N6" location="DALIAN!R47C1" display="Drop off Krasnoyarsk"/>
    <hyperlink ref="N7" location="DALIAN!A62" display="Drop off St.Petersburg"/>
    <hyperlink ref="N8" location="DALIAN!A70" display="Drop off Irkutsk"/>
    <hyperlink ref="N16" location="DALIAN!R1C1" display="BACK"/>
    <hyperlink ref="N25" location="DALIAN!R1C1" display="BACK"/>
    <hyperlink ref="N34" location="DALIAN!R1C1" display="BACK"/>
    <hyperlink ref="N43" location="DALIAN!R1C1" display="BACK"/>
    <hyperlink ref="N52" location="DALIAN!R1C1" display="BACK"/>
    <hyperlink ref="N59" location="DALIAN!R1C1" display="BACK"/>
    <hyperlink ref="N70" location="DALIAN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9" width="17.49"/>
    <col collapsed="false" customWidth="true" hidden="false" outlineLevel="0" max="2" min="2" style="39" width="11.51"/>
    <col collapsed="false" customWidth="true" hidden="false" outlineLevel="0" max="3" min="3" style="39" width="7.13"/>
    <col collapsed="false" customWidth="true" hidden="false" outlineLevel="0" max="4" min="4" style="39" width="5.12"/>
    <col collapsed="false" customWidth="true" hidden="false" outlineLevel="0" max="5" min="5" style="39" width="7.13"/>
    <col collapsed="false" customWidth="true" hidden="false" outlineLevel="0" max="6" min="6" style="39" width="5.12"/>
    <col collapsed="false" customWidth="true" hidden="false" outlineLevel="0" max="7" min="7" style="39" width="27.37"/>
    <col collapsed="false" customWidth="true" hidden="false" outlineLevel="0" max="8" min="8" style="39" width="22.79"/>
    <col collapsed="false" customWidth="true" hidden="false" outlineLevel="0" max="9" min="9" style="39" width="12.4"/>
    <col collapsed="false" customWidth="true" hidden="false" outlineLevel="0" max="10" min="10" style="39" width="8.76"/>
    <col collapsed="false" customWidth="true" hidden="false" outlineLevel="0" max="11" min="11" style="39" width="12.39"/>
    <col collapsed="false" customWidth="true" hidden="false" outlineLevel="0" max="12" min="12" style="39" width="8.27"/>
    <col collapsed="false" customWidth="true" hidden="false" outlineLevel="0" max="13" min="13" style="39" width="22.29"/>
    <col collapsed="false" customWidth="true" hidden="false" outlineLevel="0" max="14" min="14" style="39" width="19.63"/>
    <col collapsed="false" customWidth="false" hidden="false" outlineLevel="0" max="16384" min="15" style="39" width="9"/>
  </cols>
  <sheetData>
    <row r="1" customFormat="false" ht="17.45" hidden="false" customHeight="true" outlineLevel="0" collapsed="false">
      <c r="A1" s="2" t="s">
        <v>200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136</v>
      </c>
      <c r="N1" s="40" t="s">
        <v>12</v>
      </c>
    </row>
    <row r="2" customFormat="false" ht="42.75" hidden="false" customHeight="true" outlineLevel="0" collapsed="false">
      <c r="A2" s="2"/>
      <c r="B2" s="7" t="s">
        <v>29</v>
      </c>
      <c r="C2" s="8" t="n">
        <v>1420</v>
      </c>
      <c r="D2" s="8"/>
      <c r="E2" s="8" t="n">
        <v>2020</v>
      </c>
      <c r="F2" s="8"/>
      <c r="G2" s="9" t="s">
        <v>14</v>
      </c>
      <c r="H2" s="10" t="s">
        <v>201</v>
      </c>
      <c r="I2" s="10"/>
      <c r="J2" s="16" t="s">
        <v>95</v>
      </c>
      <c r="K2" s="9" t="s">
        <v>143</v>
      </c>
      <c r="L2" s="10" t="n">
        <v>46081</v>
      </c>
      <c r="M2" s="12" t="s">
        <v>33</v>
      </c>
      <c r="N2" s="13" t="s">
        <v>20</v>
      </c>
    </row>
    <row r="3" customFormat="false" ht="28.9" hidden="false" customHeight="false" outlineLevel="0" collapsed="false">
      <c r="A3" s="2"/>
      <c r="B3" s="7" t="s">
        <v>21</v>
      </c>
      <c r="C3" s="8" t="n">
        <v>1315</v>
      </c>
      <c r="D3" s="8"/>
      <c r="E3" s="8" t="n">
        <v>1730</v>
      </c>
      <c r="F3" s="8"/>
      <c r="G3" s="9" t="s">
        <v>14</v>
      </c>
      <c r="H3" s="10" t="s">
        <v>202</v>
      </c>
      <c r="I3" s="10" t="n">
        <v>46092</v>
      </c>
      <c r="J3" s="18" t="n">
        <v>5</v>
      </c>
      <c r="K3" s="9" t="s">
        <v>16</v>
      </c>
      <c r="L3" s="10" t="n">
        <v>46092</v>
      </c>
      <c r="M3" s="12" t="s">
        <v>25</v>
      </c>
      <c r="N3" s="72" t="s">
        <v>26</v>
      </c>
    </row>
    <row r="4" customFormat="false" ht="28.9" hidden="false" customHeight="false" outlineLevel="0" collapsed="false">
      <c r="A4" s="2"/>
      <c r="B4" s="14" t="s">
        <v>27</v>
      </c>
      <c r="C4" s="8" t="n">
        <v>1315</v>
      </c>
      <c r="D4" s="8"/>
      <c r="E4" s="8" t="n">
        <v>1730</v>
      </c>
      <c r="F4" s="8"/>
      <c r="G4" s="9" t="s">
        <v>14</v>
      </c>
      <c r="H4" s="10" t="s">
        <v>202</v>
      </c>
      <c r="I4" s="10" t="n">
        <v>46092</v>
      </c>
      <c r="J4" s="18" t="n">
        <v>5</v>
      </c>
      <c r="K4" s="9" t="s">
        <v>16</v>
      </c>
      <c r="L4" s="10" t="n">
        <v>46092</v>
      </c>
      <c r="M4" s="12" t="s">
        <v>25</v>
      </c>
      <c r="N4" s="72" t="s">
        <v>28</v>
      </c>
    </row>
    <row r="5" customFormat="false" ht="15.65" hidden="false" customHeight="false" outlineLevel="0" collapsed="false">
      <c r="A5" s="2"/>
      <c r="B5" s="7" t="s">
        <v>203</v>
      </c>
      <c r="C5" s="8" t="s">
        <v>30</v>
      </c>
      <c r="D5" s="8"/>
      <c r="E5" s="8" t="s">
        <v>30</v>
      </c>
      <c r="F5" s="8"/>
      <c r="G5" s="9" t="s">
        <v>61</v>
      </c>
      <c r="H5" s="59" t="s">
        <v>30</v>
      </c>
      <c r="I5" s="59" t="s">
        <v>30</v>
      </c>
      <c r="J5" s="18" t="n">
        <v>7</v>
      </c>
      <c r="K5" s="9" t="s">
        <v>16</v>
      </c>
      <c r="L5" s="10" t="n">
        <v>45945</v>
      </c>
      <c r="M5" s="12" t="s">
        <v>63</v>
      </c>
      <c r="N5" s="72" t="s">
        <v>34</v>
      </c>
    </row>
    <row r="6" customFormat="false" ht="42.75" hidden="false" customHeight="false" outlineLevel="0" collapsed="false">
      <c r="A6" s="2"/>
      <c r="B6" s="7" t="s">
        <v>54</v>
      </c>
      <c r="C6" s="8" t="n">
        <v>1490</v>
      </c>
      <c r="D6" s="8"/>
      <c r="E6" s="8" t="n">
        <v>1730</v>
      </c>
      <c r="F6" s="8"/>
      <c r="G6" s="12" t="s">
        <v>204</v>
      </c>
      <c r="H6" s="10" t="s">
        <v>205</v>
      </c>
      <c r="I6" s="10" t="s">
        <v>206</v>
      </c>
      <c r="J6" s="18" t="n">
        <v>6</v>
      </c>
      <c r="K6" s="9" t="s">
        <v>16</v>
      </c>
      <c r="L6" s="10" t="n">
        <v>46096</v>
      </c>
      <c r="M6" s="12" t="s">
        <v>63</v>
      </c>
      <c r="N6" s="72" t="s">
        <v>42</v>
      </c>
    </row>
    <row r="7" customFormat="false" ht="28.9" hidden="false" customHeight="false" outlineLevel="0" collapsed="false">
      <c r="A7" s="2"/>
      <c r="B7" s="7" t="s">
        <v>43</v>
      </c>
      <c r="C7" s="8" t="s">
        <v>30</v>
      </c>
      <c r="D7" s="8"/>
      <c r="E7" s="8" t="s">
        <v>30</v>
      </c>
      <c r="F7" s="8"/>
      <c r="G7" s="9" t="s">
        <v>14</v>
      </c>
      <c r="H7" s="59" t="s">
        <v>30</v>
      </c>
      <c r="I7" s="59" t="s">
        <v>30</v>
      </c>
      <c r="J7" s="9" t="n">
        <v>5</v>
      </c>
      <c r="K7" s="9" t="s">
        <v>16</v>
      </c>
      <c r="L7" s="59" t="s">
        <v>30</v>
      </c>
      <c r="M7" s="12" t="s">
        <v>47</v>
      </c>
      <c r="N7" s="13" t="s">
        <v>48</v>
      </c>
    </row>
    <row r="8" customFormat="false" ht="16.25" hidden="false" customHeight="false" outlineLevel="0" collapsed="false">
      <c r="A8" s="2"/>
      <c r="B8" s="7" t="s">
        <v>49</v>
      </c>
      <c r="C8" s="8" t="s">
        <v>30</v>
      </c>
      <c r="D8" s="8"/>
      <c r="E8" s="8" t="s">
        <v>30</v>
      </c>
      <c r="F8" s="8"/>
      <c r="G8" s="9" t="s">
        <v>50</v>
      </c>
      <c r="H8" s="10" t="s">
        <v>30</v>
      </c>
      <c r="I8" s="10" t="s">
        <v>30</v>
      </c>
      <c r="J8" s="9" t="n">
        <v>19</v>
      </c>
      <c r="K8" s="9" t="s">
        <v>140</v>
      </c>
      <c r="L8" s="20" t="n">
        <v>46081</v>
      </c>
      <c r="M8" s="12" t="s">
        <v>52</v>
      </c>
    </row>
    <row r="10" customFormat="false" ht="15.05" hidden="false" customHeight="true" outlineLevel="0" collapsed="false">
      <c r="A10" s="2" t="s">
        <v>207</v>
      </c>
      <c r="B10" s="3" t="s">
        <v>1</v>
      </c>
      <c r="C10" s="4" t="s">
        <v>70</v>
      </c>
      <c r="D10" s="4"/>
      <c r="E10" s="4" t="s">
        <v>71</v>
      </c>
      <c r="F10" s="4"/>
      <c r="G10" s="4" t="s">
        <v>4</v>
      </c>
      <c r="H10" s="4" t="s">
        <v>5</v>
      </c>
      <c r="I10" s="4" t="s">
        <v>7</v>
      </c>
      <c r="J10" s="4" t="s">
        <v>8</v>
      </c>
      <c r="K10" s="4" t="s">
        <v>9</v>
      </c>
      <c r="L10" s="5" t="s">
        <v>10</v>
      </c>
      <c r="M10" s="4" t="s">
        <v>136</v>
      </c>
    </row>
    <row r="11" customFormat="false" ht="42.75" hidden="false" customHeight="true" outlineLevel="0" collapsed="false">
      <c r="A11" s="2"/>
      <c r="B11" s="7" t="s">
        <v>29</v>
      </c>
      <c r="C11" s="8" t="n">
        <v>1520</v>
      </c>
      <c r="D11" s="8" t="s">
        <v>72</v>
      </c>
      <c r="E11" s="8" t="n">
        <v>2420</v>
      </c>
      <c r="F11" s="8" t="s">
        <v>72</v>
      </c>
      <c r="G11" s="9" t="str">
        <f aca="false">G2</f>
        <v>Vladivostok Commercial Port</v>
      </c>
      <c r="H11" s="10" t="s">
        <v>201</v>
      </c>
      <c r="I11" s="10"/>
      <c r="J11" s="16" t="str">
        <f aca="false">J2</f>
        <v>10~11</v>
      </c>
      <c r="K11" s="9" t="str">
        <f aca="false">K2</f>
        <v>VIA SHANGHAI</v>
      </c>
      <c r="L11" s="58" t="n">
        <f aca="false">L2</f>
        <v>46081</v>
      </c>
      <c r="M11" s="12" t="str">
        <f aca="false">M2</f>
        <v>Include DTHC $400/500
DDF $50/bill
DTHC&amp;DDF PP/CC Available</v>
      </c>
    </row>
    <row r="12" customFormat="false" ht="28.9" hidden="false" customHeight="false" outlineLevel="0" collapsed="false">
      <c r="A12" s="2"/>
      <c r="B12" s="7" t="s">
        <v>21</v>
      </c>
      <c r="C12" s="51" t="n">
        <v>1340</v>
      </c>
      <c r="D12" s="8" t="s">
        <v>72</v>
      </c>
      <c r="E12" s="51" t="n">
        <v>1730</v>
      </c>
      <c r="F12" s="8" t="s">
        <v>72</v>
      </c>
      <c r="G12" s="9" t="str">
        <f aca="false">G3</f>
        <v>Vladivostok Commercial Port</v>
      </c>
      <c r="H12" s="10" t="s">
        <v>202</v>
      </c>
      <c r="I12" s="10" t="n">
        <v>46092</v>
      </c>
      <c r="J12" s="18" t="n">
        <f aca="false">J3</f>
        <v>5</v>
      </c>
      <c r="K12" s="9" t="str">
        <f aca="false">K3</f>
        <v>DIRECT</v>
      </c>
      <c r="L12" s="10" t="n">
        <f aca="false">L3</f>
        <v>46092</v>
      </c>
      <c r="M12" s="12" t="str">
        <f aca="false">M3</f>
        <v>Include DTHC $550/650
DTHC PP/CC Available</v>
      </c>
    </row>
    <row r="13" customFormat="false" ht="28.9" hidden="false" customHeight="false" outlineLevel="0" collapsed="false">
      <c r="A13" s="2"/>
      <c r="B13" s="14" t="s">
        <v>27</v>
      </c>
      <c r="C13" s="51" t="n">
        <v>1340</v>
      </c>
      <c r="D13" s="8" t="s">
        <v>72</v>
      </c>
      <c r="E13" s="51" t="n">
        <v>1730</v>
      </c>
      <c r="F13" s="8" t="s">
        <v>72</v>
      </c>
      <c r="G13" s="9" t="str">
        <f aca="false">G4</f>
        <v>Vladivostok Commercial Port</v>
      </c>
      <c r="H13" s="10" t="s">
        <v>202</v>
      </c>
      <c r="I13" s="10" t="n">
        <v>46092</v>
      </c>
      <c r="J13" s="18" t="n">
        <f aca="false">J4</f>
        <v>5</v>
      </c>
      <c r="K13" s="9" t="str">
        <f aca="false">K4</f>
        <v>DIRECT</v>
      </c>
      <c r="L13" s="10" t="n">
        <f aca="false">L4</f>
        <v>46092</v>
      </c>
      <c r="M13" s="12" t="str">
        <f aca="false">M4</f>
        <v>Include DTHC $550/650
DTHC PP/CC Available</v>
      </c>
    </row>
    <row r="14" customFormat="false" ht="15.05" hidden="false" customHeight="false" outlineLevel="0" collapsed="false">
      <c r="A14" s="2"/>
      <c r="B14" s="7" t="s">
        <v>203</v>
      </c>
      <c r="C14" s="51" t="s">
        <v>30</v>
      </c>
      <c r="D14" s="51" t="s">
        <v>30</v>
      </c>
      <c r="E14" s="51" t="s">
        <v>30</v>
      </c>
      <c r="F14" s="51" t="s">
        <v>30</v>
      </c>
      <c r="G14" s="9" t="str">
        <f aca="false">G5</f>
        <v>Vostochny</v>
      </c>
      <c r="H14" s="10" t="str">
        <f aca="false">H5</f>
        <v>/</v>
      </c>
      <c r="I14" s="10" t="str">
        <f aca="false">I5</f>
        <v>/</v>
      </c>
      <c r="J14" s="18" t="n">
        <f aca="false">J5</f>
        <v>7</v>
      </c>
      <c r="K14" s="9" t="str">
        <f aca="false">K5</f>
        <v>DIRECT</v>
      </c>
      <c r="L14" s="10" t="n">
        <f aca="false">L5</f>
        <v>45945</v>
      </c>
      <c r="M14" s="12" t="str">
        <f aca="false">M5</f>
        <v>Include DTHC</v>
      </c>
    </row>
    <row r="15" customFormat="false" ht="28.9" hidden="false" customHeight="false" outlineLevel="0" collapsed="false">
      <c r="A15" s="2"/>
      <c r="B15" s="7" t="s">
        <v>54</v>
      </c>
      <c r="C15" s="61" t="n">
        <v>1765</v>
      </c>
      <c r="D15" s="8" t="s">
        <v>73</v>
      </c>
      <c r="E15" s="61" t="n">
        <v>2280</v>
      </c>
      <c r="F15" s="8" t="s">
        <v>73</v>
      </c>
      <c r="G15" s="12" t="s">
        <v>208</v>
      </c>
      <c r="H15" s="10" t="s">
        <v>209</v>
      </c>
      <c r="I15" s="10" t="n">
        <v>46084</v>
      </c>
      <c r="J15" s="18" t="n">
        <f aca="false">J6</f>
        <v>6</v>
      </c>
      <c r="K15" s="9" t="str">
        <f aca="false">K6</f>
        <v>DIRECT</v>
      </c>
      <c r="L15" s="10" t="n">
        <v>46096</v>
      </c>
      <c r="M15" s="12" t="str">
        <f aca="false">M6</f>
        <v>Include DTHC</v>
      </c>
      <c r="N15" s="69" t="s">
        <v>75</v>
      </c>
    </row>
    <row r="16" customFormat="false" ht="28.9" hidden="false" customHeight="false" outlineLevel="0" collapsed="false">
      <c r="A16" s="2"/>
      <c r="B16" s="7" t="s">
        <v>43</v>
      </c>
      <c r="C16" s="44" t="s">
        <v>30</v>
      </c>
      <c r="D16" s="44" t="s">
        <v>30</v>
      </c>
      <c r="E16" s="44" t="s">
        <v>30</v>
      </c>
      <c r="F16" s="44" t="s">
        <v>30</v>
      </c>
      <c r="G16" s="9" t="str">
        <f aca="false">G7</f>
        <v>Vladivostok Commercial Port</v>
      </c>
      <c r="H16" s="59" t="str">
        <f aca="false">H7</f>
        <v>/</v>
      </c>
      <c r="I16" s="59" t="str">
        <f aca="false">I7</f>
        <v>/</v>
      </c>
      <c r="J16" s="9" t="n">
        <f aca="false">J7</f>
        <v>5</v>
      </c>
      <c r="K16" s="9" t="str">
        <f aca="false">K7</f>
        <v>DIRECT</v>
      </c>
      <c r="L16" s="59" t="str">
        <f aca="false">L7</f>
        <v>/</v>
      </c>
      <c r="M16" s="12" t="str">
        <f aca="false">M7</f>
        <v>Include DTHC $350/450
DTHC PP/CC Available</v>
      </c>
    </row>
    <row r="17" customFormat="false" ht="16.25" hidden="false" customHeight="false" outlineLevel="0" collapsed="false">
      <c r="A17" s="2"/>
      <c r="B17" s="7" t="s">
        <v>49</v>
      </c>
      <c r="C17" s="44" t="s">
        <v>30</v>
      </c>
      <c r="D17" s="51" t="s">
        <v>30</v>
      </c>
      <c r="E17" s="44" t="s">
        <v>30</v>
      </c>
      <c r="F17" s="51" t="s">
        <v>30</v>
      </c>
      <c r="G17" s="9" t="str">
        <f aca="false">G8</f>
        <v>Vladivostok Fish Port</v>
      </c>
      <c r="H17" s="10" t="str">
        <f aca="false">H8</f>
        <v>/</v>
      </c>
      <c r="I17" s="10" t="str">
        <f aca="false">I8</f>
        <v>/</v>
      </c>
      <c r="J17" s="9" t="n">
        <f aca="false">J8</f>
        <v>19</v>
      </c>
      <c r="K17" s="9" t="str">
        <f aca="false">K8</f>
        <v>VIA BUSAN</v>
      </c>
      <c r="L17" s="20" t="n">
        <f aca="false">L8</f>
        <v>46081</v>
      </c>
      <c r="M17" s="12" t="str">
        <f aca="false">M8</f>
        <v>Include DTHC、DDF</v>
      </c>
    </row>
    <row r="19" customFormat="false" ht="15.05" hidden="false" customHeight="true" outlineLevel="0" collapsed="false">
      <c r="A19" s="2" t="s">
        <v>210</v>
      </c>
      <c r="B19" s="3" t="s">
        <v>1</v>
      </c>
      <c r="C19" s="4" t="s">
        <v>70</v>
      </c>
      <c r="D19" s="4"/>
      <c r="E19" s="4" t="s">
        <v>71</v>
      </c>
      <c r="F19" s="4"/>
      <c r="G19" s="4" t="s">
        <v>4</v>
      </c>
      <c r="H19" s="4" t="s">
        <v>5</v>
      </c>
      <c r="I19" s="4" t="s">
        <v>7</v>
      </c>
      <c r="J19" s="4" t="s">
        <v>8</v>
      </c>
      <c r="K19" s="4" t="s">
        <v>9</v>
      </c>
      <c r="L19" s="5" t="s">
        <v>10</v>
      </c>
      <c r="M19" s="4" t="s">
        <v>136</v>
      </c>
    </row>
    <row r="20" customFormat="false" ht="42.75" hidden="false" customHeight="true" outlineLevel="0" collapsed="false">
      <c r="A20" s="2"/>
      <c r="B20" s="7" t="s">
        <v>29</v>
      </c>
      <c r="C20" s="8" t="n">
        <v>2000</v>
      </c>
      <c r="D20" s="8" t="s">
        <v>73</v>
      </c>
      <c r="E20" s="8" t="n">
        <v>3270</v>
      </c>
      <c r="F20" s="8" t="s">
        <v>73</v>
      </c>
      <c r="G20" s="9" t="str">
        <f aca="false">G11</f>
        <v>Vladivostok Commercial Port</v>
      </c>
      <c r="H20" s="10" t="s">
        <v>201</v>
      </c>
      <c r="I20" s="10"/>
      <c r="J20" s="16" t="str">
        <f aca="false">J11</f>
        <v>10~11</v>
      </c>
      <c r="K20" s="9" t="str">
        <f aca="false">K11</f>
        <v>VIA SHANGHAI</v>
      </c>
      <c r="L20" s="58" t="n">
        <f aca="false">L11</f>
        <v>46081</v>
      </c>
      <c r="M20" s="12" t="str">
        <f aca="false">M11</f>
        <v>Include DTHC $400/500
DDF $50/bill
DTHC&amp;DDF PP/CC Available</v>
      </c>
    </row>
    <row r="21" customFormat="false" ht="28.9" hidden="false" customHeight="false" outlineLevel="0" collapsed="false">
      <c r="A21" s="2"/>
      <c r="B21" s="7" t="s">
        <v>21</v>
      </c>
      <c r="C21" s="51" t="n">
        <v>1880</v>
      </c>
      <c r="D21" s="8" t="s">
        <v>73</v>
      </c>
      <c r="E21" s="51" t="n">
        <v>2930</v>
      </c>
      <c r="F21" s="8" t="s">
        <v>72</v>
      </c>
      <c r="G21" s="9" t="str">
        <f aca="false">G12</f>
        <v>Vladivostok Commercial Port</v>
      </c>
      <c r="H21" s="10" t="s">
        <v>202</v>
      </c>
      <c r="I21" s="10" t="n">
        <v>46092</v>
      </c>
      <c r="J21" s="18" t="n">
        <f aca="false">J12</f>
        <v>5</v>
      </c>
      <c r="K21" s="9" t="str">
        <f aca="false">K12</f>
        <v>DIRECT</v>
      </c>
      <c r="L21" s="10" t="n">
        <f aca="false">L12</f>
        <v>46092</v>
      </c>
      <c r="M21" s="12" t="str">
        <f aca="false">M12</f>
        <v>Include DTHC $550/650
DTHC PP/CC Available</v>
      </c>
    </row>
    <row r="22" customFormat="false" ht="28.9" hidden="false" customHeight="false" outlineLevel="0" collapsed="false">
      <c r="A22" s="2"/>
      <c r="B22" s="14" t="s">
        <v>27</v>
      </c>
      <c r="C22" s="51" t="n">
        <v>1880</v>
      </c>
      <c r="D22" s="8" t="s">
        <v>73</v>
      </c>
      <c r="E22" s="51" t="n">
        <v>2930</v>
      </c>
      <c r="F22" s="8" t="s">
        <v>72</v>
      </c>
      <c r="G22" s="9" t="str">
        <f aca="false">G13</f>
        <v>Vladivostok Commercial Port</v>
      </c>
      <c r="H22" s="10" t="s">
        <v>202</v>
      </c>
      <c r="I22" s="10" t="n">
        <v>46092</v>
      </c>
      <c r="J22" s="18" t="n">
        <f aca="false">J13</f>
        <v>5</v>
      </c>
      <c r="K22" s="9" t="str">
        <f aca="false">K13</f>
        <v>DIRECT</v>
      </c>
      <c r="L22" s="10" t="n">
        <f aca="false">L13</f>
        <v>46092</v>
      </c>
      <c r="M22" s="12" t="str">
        <f aca="false">M13</f>
        <v>Include DTHC $550/650
DTHC PP/CC Available</v>
      </c>
    </row>
    <row r="23" customFormat="false" ht="15.05" hidden="false" customHeight="false" outlineLevel="0" collapsed="false">
      <c r="A23" s="2"/>
      <c r="B23" s="7" t="s">
        <v>203</v>
      </c>
      <c r="C23" s="44" t="s">
        <v>30</v>
      </c>
      <c r="D23" s="51" t="s">
        <v>30</v>
      </c>
      <c r="E23" s="44" t="s">
        <v>30</v>
      </c>
      <c r="F23" s="51" t="s">
        <v>30</v>
      </c>
      <c r="G23" s="9" t="str">
        <f aca="false">G14</f>
        <v>Vostochny</v>
      </c>
      <c r="H23" s="10" t="str">
        <f aca="false">H14</f>
        <v>/</v>
      </c>
      <c r="I23" s="10" t="str">
        <f aca="false">I14</f>
        <v>/</v>
      </c>
      <c r="J23" s="18" t="n">
        <f aca="false">J14</f>
        <v>7</v>
      </c>
      <c r="K23" s="9" t="str">
        <f aca="false">K14</f>
        <v>DIRECT</v>
      </c>
      <c r="L23" s="10" t="n">
        <f aca="false">L14</f>
        <v>45945</v>
      </c>
      <c r="M23" s="12" t="str">
        <f aca="false">M14</f>
        <v>Include DTHC</v>
      </c>
    </row>
    <row r="24" customFormat="false" ht="42.75" hidden="false" customHeight="false" outlineLevel="0" collapsed="false">
      <c r="A24" s="2"/>
      <c r="B24" s="7" t="s">
        <v>54</v>
      </c>
      <c r="C24" s="61" t="n">
        <v>2030</v>
      </c>
      <c r="D24" s="8" t="s">
        <v>73</v>
      </c>
      <c r="E24" s="61" t="n">
        <v>2980</v>
      </c>
      <c r="F24" s="8" t="s">
        <v>73</v>
      </c>
      <c r="G24" s="12" t="str">
        <f aca="false">G6</f>
        <v>VLADIVOSTOK (VMPP)
&amp; VRANGEL</v>
      </c>
      <c r="H24" s="10" t="s">
        <v>205</v>
      </c>
      <c r="I24" s="10" t="s">
        <v>206</v>
      </c>
      <c r="J24" s="18" t="n">
        <f aca="false">J15</f>
        <v>6</v>
      </c>
      <c r="K24" s="9" t="str">
        <f aca="false">K15</f>
        <v>DIRECT</v>
      </c>
      <c r="L24" s="10" t="n">
        <v>46096</v>
      </c>
      <c r="M24" s="12" t="str">
        <f aca="false">M15</f>
        <v>Include DTHC</v>
      </c>
      <c r="N24" s="53" t="s">
        <v>75</v>
      </c>
    </row>
    <row r="25" customFormat="false" ht="28.9" hidden="false" customHeight="false" outlineLevel="0" collapsed="false">
      <c r="A25" s="2"/>
      <c r="B25" s="7" t="s">
        <v>43</v>
      </c>
      <c r="C25" s="44" t="s">
        <v>30</v>
      </c>
      <c r="D25" s="51" t="s">
        <v>30</v>
      </c>
      <c r="E25" s="44" t="s">
        <v>30</v>
      </c>
      <c r="F25" s="51" t="s">
        <v>30</v>
      </c>
      <c r="G25" s="9" t="str">
        <f aca="false">G16</f>
        <v>Vladivostok Commercial Port</v>
      </c>
      <c r="H25" s="59" t="str">
        <f aca="false">H16</f>
        <v>/</v>
      </c>
      <c r="I25" s="10" t="str">
        <f aca="false">I16</f>
        <v>/</v>
      </c>
      <c r="J25" s="9" t="n">
        <f aca="false">J16</f>
        <v>5</v>
      </c>
      <c r="K25" s="9" t="str">
        <f aca="false">K16</f>
        <v>DIRECT</v>
      </c>
      <c r="L25" s="59" t="str">
        <f aca="false">L16</f>
        <v>/</v>
      </c>
      <c r="M25" s="12" t="str">
        <f aca="false">M16</f>
        <v>Include DTHC $350/450
DTHC PP/CC Available</v>
      </c>
    </row>
    <row r="26" customFormat="false" ht="16.25" hidden="false" customHeight="false" outlineLevel="0" collapsed="false">
      <c r="A26" s="2"/>
      <c r="B26" s="7" t="s">
        <v>49</v>
      </c>
      <c r="C26" s="44" t="s">
        <v>30</v>
      </c>
      <c r="D26" s="51" t="s">
        <v>30</v>
      </c>
      <c r="E26" s="44" t="s">
        <v>30</v>
      </c>
      <c r="F26" s="51" t="s">
        <v>30</v>
      </c>
      <c r="G26" s="9" t="str">
        <f aca="false">G17</f>
        <v>Vladivostok Fish Port</v>
      </c>
      <c r="H26" s="10" t="str">
        <f aca="false">H17</f>
        <v>/</v>
      </c>
      <c r="I26" s="10" t="str">
        <f aca="false">I17</f>
        <v>/</v>
      </c>
      <c r="J26" s="9" t="n">
        <f aca="false">J17</f>
        <v>19</v>
      </c>
      <c r="K26" s="9" t="str">
        <f aca="false">K17</f>
        <v>VIA BUSAN</v>
      </c>
      <c r="L26" s="20" t="n">
        <f aca="false">L17</f>
        <v>46081</v>
      </c>
      <c r="M26" s="12" t="str">
        <f aca="false">M17</f>
        <v>Include DTHC、DDF</v>
      </c>
    </row>
    <row r="27" customFormat="false" ht="12.75" hidden="false" customHeight="false" outlineLevel="0" collapsed="false">
      <c r="I27" s="10"/>
    </row>
    <row r="28" customFormat="false" ht="15.05" hidden="false" customHeight="true" outlineLevel="0" collapsed="false">
      <c r="A28" s="2" t="s">
        <v>211</v>
      </c>
      <c r="B28" s="3" t="s">
        <v>1</v>
      </c>
      <c r="C28" s="4" t="s">
        <v>70</v>
      </c>
      <c r="D28" s="4"/>
      <c r="E28" s="4" t="s">
        <v>71</v>
      </c>
      <c r="F28" s="4"/>
      <c r="G28" s="4" t="s">
        <v>4</v>
      </c>
      <c r="H28" s="4" t="s">
        <v>5</v>
      </c>
      <c r="I28" s="4" t="s">
        <v>7</v>
      </c>
      <c r="J28" s="4" t="s">
        <v>8</v>
      </c>
      <c r="K28" s="4" t="s">
        <v>9</v>
      </c>
      <c r="L28" s="5" t="s">
        <v>10</v>
      </c>
      <c r="M28" s="4" t="s">
        <v>136</v>
      </c>
    </row>
    <row r="29" customFormat="false" ht="42.75" hidden="false" customHeight="true" outlineLevel="0" collapsed="false">
      <c r="A29" s="2"/>
      <c r="B29" s="7" t="s">
        <v>29</v>
      </c>
      <c r="C29" s="8" t="n">
        <v>1800</v>
      </c>
      <c r="D29" s="8" t="s">
        <v>73</v>
      </c>
      <c r="E29" s="8" t="n">
        <v>2900</v>
      </c>
      <c r="F29" s="8" t="s">
        <v>73</v>
      </c>
      <c r="G29" s="9" t="str">
        <f aca="false">G20</f>
        <v>Vladivostok Commercial Port</v>
      </c>
      <c r="H29" s="10" t="s">
        <v>201</v>
      </c>
      <c r="I29" s="10"/>
      <c r="J29" s="16" t="str">
        <f aca="false">J20</f>
        <v>10~11</v>
      </c>
      <c r="K29" s="9" t="str">
        <f aca="false">K20</f>
        <v>VIA SHANGHAI</v>
      </c>
      <c r="L29" s="58" t="n">
        <f aca="false">L20</f>
        <v>46081</v>
      </c>
      <c r="M29" s="12" t="str">
        <f aca="false">M20</f>
        <v>Include DTHC $400/500
DDF $50/bill
DTHC&amp;DDF PP/CC Available</v>
      </c>
    </row>
    <row r="30" customFormat="false" ht="28.9" hidden="false" customHeight="false" outlineLevel="0" collapsed="false">
      <c r="A30" s="2"/>
      <c r="B30" s="7" t="s">
        <v>21</v>
      </c>
      <c r="C30" s="51" t="n">
        <v>1680</v>
      </c>
      <c r="D30" s="8" t="s">
        <v>73</v>
      </c>
      <c r="E30" s="51" t="n">
        <v>2530</v>
      </c>
      <c r="F30" s="8" t="s">
        <v>72</v>
      </c>
      <c r="G30" s="9" t="str">
        <f aca="false">G21</f>
        <v>Vladivostok Commercial Port</v>
      </c>
      <c r="H30" s="10" t="s">
        <v>202</v>
      </c>
      <c r="I30" s="10" t="n">
        <v>46092</v>
      </c>
      <c r="J30" s="18" t="n">
        <f aca="false">J21</f>
        <v>5</v>
      </c>
      <c r="K30" s="9" t="str">
        <f aca="false">K21</f>
        <v>DIRECT</v>
      </c>
      <c r="L30" s="10" t="n">
        <f aca="false">L21</f>
        <v>46092</v>
      </c>
      <c r="M30" s="12" t="str">
        <f aca="false">M21</f>
        <v>Include DTHC $550/650
DTHC PP/CC Available</v>
      </c>
    </row>
    <row r="31" customFormat="false" ht="28.9" hidden="false" customHeight="false" outlineLevel="0" collapsed="false">
      <c r="A31" s="2"/>
      <c r="B31" s="14" t="s">
        <v>27</v>
      </c>
      <c r="C31" s="51" t="n">
        <v>1680</v>
      </c>
      <c r="D31" s="8" t="s">
        <v>73</v>
      </c>
      <c r="E31" s="51" t="n">
        <v>2530</v>
      </c>
      <c r="F31" s="8" t="s">
        <v>72</v>
      </c>
      <c r="G31" s="9" t="str">
        <f aca="false">G22</f>
        <v>Vladivostok Commercial Port</v>
      </c>
      <c r="H31" s="10" t="s">
        <v>202</v>
      </c>
      <c r="I31" s="10" t="n">
        <v>46092</v>
      </c>
      <c r="J31" s="18" t="n">
        <f aca="false">J22</f>
        <v>5</v>
      </c>
      <c r="K31" s="9" t="str">
        <f aca="false">K22</f>
        <v>DIRECT</v>
      </c>
      <c r="L31" s="10" t="n">
        <f aca="false">L22</f>
        <v>46092</v>
      </c>
      <c r="M31" s="12" t="str">
        <f aca="false">M22</f>
        <v>Include DTHC $550/650
DTHC PP/CC Available</v>
      </c>
    </row>
    <row r="32" customFormat="false" ht="15.05" hidden="false" customHeight="false" outlineLevel="0" collapsed="false">
      <c r="A32" s="2"/>
      <c r="B32" s="7" t="s">
        <v>203</v>
      </c>
      <c r="C32" s="44" t="s">
        <v>30</v>
      </c>
      <c r="D32" s="51" t="s">
        <v>30</v>
      </c>
      <c r="E32" s="44" t="s">
        <v>30</v>
      </c>
      <c r="F32" s="51" t="s">
        <v>30</v>
      </c>
      <c r="G32" s="9" t="str">
        <f aca="false">G23</f>
        <v>Vostochny</v>
      </c>
      <c r="H32" s="10" t="str">
        <f aca="false">H23</f>
        <v>/</v>
      </c>
      <c r="I32" s="10" t="str">
        <f aca="false">I23</f>
        <v>/</v>
      </c>
      <c r="J32" s="18" t="n">
        <f aca="false">J23</f>
        <v>7</v>
      </c>
      <c r="K32" s="9" t="str">
        <f aca="false">K23</f>
        <v>DIRECT</v>
      </c>
      <c r="L32" s="10" t="n">
        <f aca="false">L23</f>
        <v>45945</v>
      </c>
      <c r="M32" s="12" t="str">
        <f aca="false">M23</f>
        <v>Include DTHC</v>
      </c>
    </row>
    <row r="33" customFormat="false" ht="42.75" hidden="false" customHeight="false" outlineLevel="0" collapsed="false">
      <c r="A33" s="2"/>
      <c r="B33" s="7" t="s">
        <v>54</v>
      </c>
      <c r="C33" s="61" t="n">
        <v>1840</v>
      </c>
      <c r="D33" s="8" t="s">
        <v>73</v>
      </c>
      <c r="E33" s="61" t="n">
        <v>2610</v>
      </c>
      <c r="F33" s="8" t="s">
        <v>73</v>
      </c>
      <c r="G33" s="12" t="str">
        <f aca="false">G24</f>
        <v>VLADIVOSTOK (VMPP)
&amp; VRANGEL</v>
      </c>
      <c r="H33" s="10" t="s">
        <v>205</v>
      </c>
      <c r="I33" s="10" t="s">
        <v>206</v>
      </c>
      <c r="J33" s="18" t="n">
        <f aca="false">J24</f>
        <v>6</v>
      </c>
      <c r="K33" s="9" t="str">
        <f aca="false">K24</f>
        <v>DIRECT</v>
      </c>
      <c r="L33" s="10" t="n">
        <v>46096</v>
      </c>
      <c r="M33" s="12" t="str">
        <f aca="false">M24</f>
        <v>Include DTHC</v>
      </c>
      <c r="N33" s="53" t="s">
        <v>75</v>
      </c>
    </row>
    <row r="34" customFormat="false" ht="28.9" hidden="false" customHeight="false" outlineLevel="0" collapsed="false">
      <c r="A34" s="2"/>
      <c r="B34" s="7" t="s">
        <v>43</v>
      </c>
      <c r="C34" s="44" t="s">
        <v>30</v>
      </c>
      <c r="D34" s="51" t="s">
        <v>30</v>
      </c>
      <c r="E34" s="44" t="s">
        <v>30</v>
      </c>
      <c r="F34" s="51" t="s">
        <v>30</v>
      </c>
      <c r="G34" s="9" t="str">
        <f aca="false">G25</f>
        <v>Vladivostok Commercial Port</v>
      </c>
      <c r="H34" s="59" t="str">
        <f aca="false">H25</f>
        <v>/</v>
      </c>
      <c r="I34" s="10" t="str">
        <f aca="false">I25</f>
        <v>/</v>
      </c>
      <c r="J34" s="9" t="n">
        <f aca="false">J25</f>
        <v>5</v>
      </c>
      <c r="K34" s="9" t="str">
        <f aca="false">K25</f>
        <v>DIRECT</v>
      </c>
      <c r="L34" s="59" t="str">
        <f aca="false">L25</f>
        <v>/</v>
      </c>
      <c r="M34" s="12" t="str">
        <f aca="false">M25</f>
        <v>Include DTHC $350/450
DTHC PP/CC Available</v>
      </c>
    </row>
    <row r="35" customFormat="false" ht="16.25" hidden="false" customHeight="false" outlineLevel="0" collapsed="false">
      <c r="A35" s="2"/>
      <c r="B35" s="7" t="s">
        <v>49</v>
      </c>
      <c r="C35" s="44" t="s">
        <v>30</v>
      </c>
      <c r="D35" s="51" t="s">
        <v>30</v>
      </c>
      <c r="E35" s="44" t="s">
        <v>30</v>
      </c>
      <c r="F35" s="51" t="s">
        <v>30</v>
      </c>
      <c r="G35" s="9" t="str">
        <f aca="false">G26</f>
        <v>Vladivostok Fish Port</v>
      </c>
      <c r="H35" s="10" t="str">
        <f aca="false">H26</f>
        <v>/</v>
      </c>
      <c r="I35" s="10" t="str">
        <f aca="false">I26</f>
        <v>/</v>
      </c>
      <c r="J35" s="9" t="n">
        <f aca="false">J26</f>
        <v>19</v>
      </c>
      <c r="K35" s="9" t="str">
        <f aca="false">K26</f>
        <v>VIA BUSAN</v>
      </c>
      <c r="L35" s="20" t="n">
        <f aca="false">L26</f>
        <v>46081</v>
      </c>
      <c r="M35" s="12" t="str">
        <f aca="false">M26</f>
        <v>Include DTHC、DDF</v>
      </c>
    </row>
    <row r="36" customFormat="false" ht="12.75" hidden="false" customHeight="false" outlineLevel="0" collapsed="false">
      <c r="I36" s="10"/>
    </row>
    <row r="37" customFormat="false" ht="15.05" hidden="false" customHeight="true" outlineLevel="0" collapsed="false">
      <c r="A37" s="2" t="s">
        <v>212</v>
      </c>
      <c r="B37" s="3" t="s">
        <v>1</v>
      </c>
      <c r="C37" s="4" t="s">
        <v>70</v>
      </c>
      <c r="D37" s="4"/>
      <c r="E37" s="4" t="s">
        <v>71</v>
      </c>
      <c r="F37" s="4"/>
      <c r="G37" s="4" t="s">
        <v>4</v>
      </c>
      <c r="H37" s="4" t="s">
        <v>5</v>
      </c>
      <c r="I37" s="4" t="s">
        <v>7</v>
      </c>
      <c r="J37" s="4" t="s">
        <v>8</v>
      </c>
      <c r="K37" s="4" t="s">
        <v>9</v>
      </c>
      <c r="L37" s="5" t="s">
        <v>10</v>
      </c>
      <c r="M37" s="4" t="s">
        <v>136</v>
      </c>
    </row>
    <row r="38" customFormat="false" ht="42.75" hidden="false" customHeight="true" outlineLevel="0" collapsed="false">
      <c r="A38" s="2"/>
      <c r="B38" s="7" t="s">
        <v>29</v>
      </c>
      <c r="C38" s="8" t="n">
        <v>1980</v>
      </c>
      <c r="D38" s="8" t="s">
        <v>73</v>
      </c>
      <c r="E38" s="8" t="n">
        <v>3020</v>
      </c>
      <c r="F38" s="8" t="s">
        <v>73</v>
      </c>
      <c r="G38" s="9" t="str">
        <f aca="false">G29</f>
        <v>Vladivostok Commercial Port</v>
      </c>
      <c r="H38" s="10" t="s">
        <v>201</v>
      </c>
      <c r="I38" s="10"/>
      <c r="J38" s="16" t="str">
        <f aca="false">J29</f>
        <v>10~11</v>
      </c>
      <c r="K38" s="9" t="str">
        <f aca="false">K29</f>
        <v>VIA SHANGHAI</v>
      </c>
      <c r="L38" s="58" t="n">
        <f aca="false">L29</f>
        <v>46081</v>
      </c>
      <c r="M38" s="12" t="str">
        <f aca="false">M29</f>
        <v>Include DTHC $400/500
DDF $50/bill
DTHC&amp;DDF PP/CC Available</v>
      </c>
    </row>
    <row r="39" customFormat="false" ht="28.9" hidden="false" customHeight="false" outlineLevel="0" collapsed="false">
      <c r="A39" s="2"/>
      <c r="B39" s="7" t="s">
        <v>21</v>
      </c>
      <c r="C39" s="51" t="n">
        <v>1860</v>
      </c>
      <c r="D39" s="8" t="s">
        <v>73</v>
      </c>
      <c r="E39" s="51" t="n">
        <v>2780</v>
      </c>
      <c r="F39" s="8" t="s">
        <v>73</v>
      </c>
      <c r="G39" s="9" t="str">
        <f aca="false">G30</f>
        <v>Vladivostok Commercial Port</v>
      </c>
      <c r="H39" s="10" t="s">
        <v>202</v>
      </c>
      <c r="I39" s="10" t="n">
        <v>46092</v>
      </c>
      <c r="J39" s="18" t="n">
        <f aca="false">J30</f>
        <v>5</v>
      </c>
      <c r="K39" s="9" t="str">
        <f aca="false">K30</f>
        <v>DIRECT</v>
      </c>
      <c r="L39" s="10" t="n">
        <f aca="false">L30</f>
        <v>46092</v>
      </c>
      <c r="M39" s="12" t="str">
        <f aca="false">M30</f>
        <v>Include DTHC $550/650
DTHC PP/CC Available</v>
      </c>
    </row>
    <row r="40" customFormat="false" ht="28.9" hidden="false" customHeight="false" outlineLevel="0" collapsed="false">
      <c r="A40" s="2"/>
      <c r="B40" s="14" t="s">
        <v>27</v>
      </c>
      <c r="C40" s="51" t="n">
        <v>1860</v>
      </c>
      <c r="D40" s="8" t="s">
        <v>73</v>
      </c>
      <c r="E40" s="51" t="n">
        <v>2780</v>
      </c>
      <c r="F40" s="8" t="s">
        <v>73</v>
      </c>
      <c r="G40" s="9" t="str">
        <f aca="false">G31</f>
        <v>Vladivostok Commercial Port</v>
      </c>
      <c r="H40" s="10" t="s">
        <v>202</v>
      </c>
      <c r="I40" s="10" t="n">
        <v>46092</v>
      </c>
      <c r="J40" s="18" t="n">
        <f aca="false">J31</f>
        <v>5</v>
      </c>
      <c r="K40" s="9" t="str">
        <f aca="false">K31</f>
        <v>DIRECT</v>
      </c>
      <c r="L40" s="10" t="n">
        <f aca="false">L31</f>
        <v>46092</v>
      </c>
      <c r="M40" s="12" t="str">
        <f aca="false">M31</f>
        <v>Include DTHC $550/650
DTHC PP/CC Available</v>
      </c>
    </row>
    <row r="41" customFormat="false" ht="15.65" hidden="false" customHeight="false" outlineLevel="0" collapsed="false">
      <c r="A41" s="2"/>
      <c r="B41" s="7" t="s">
        <v>203</v>
      </c>
      <c r="C41" s="44" t="s">
        <v>30</v>
      </c>
      <c r="D41" s="51" t="s">
        <v>30</v>
      </c>
      <c r="E41" s="44" t="s">
        <v>30</v>
      </c>
      <c r="F41" s="51" t="s">
        <v>30</v>
      </c>
      <c r="G41" s="9" t="str">
        <f aca="false">G32</f>
        <v>Vostochny</v>
      </c>
      <c r="H41" s="10" t="str">
        <f aca="false">H32</f>
        <v>/</v>
      </c>
      <c r="I41" s="10" t="str">
        <f aca="false">I32</f>
        <v>/</v>
      </c>
      <c r="J41" s="18" t="n">
        <f aca="false">J32</f>
        <v>7</v>
      </c>
      <c r="K41" s="9" t="str">
        <f aca="false">K32</f>
        <v>DIRECT</v>
      </c>
      <c r="L41" s="10" t="n">
        <f aca="false">L32</f>
        <v>45945</v>
      </c>
      <c r="M41" s="12" t="str">
        <f aca="false">M32</f>
        <v>Include DTHC</v>
      </c>
      <c r="N41" s="53" t="s">
        <v>75</v>
      </c>
    </row>
    <row r="42" customFormat="false" ht="42.75" hidden="false" customHeight="false" outlineLevel="0" collapsed="false">
      <c r="A42" s="2"/>
      <c r="B42" s="7" t="s">
        <v>54</v>
      </c>
      <c r="C42" s="61" t="n">
        <v>2020</v>
      </c>
      <c r="D42" s="8" t="s">
        <v>73</v>
      </c>
      <c r="E42" s="61" t="n">
        <v>2730</v>
      </c>
      <c r="F42" s="8" t="s">
        <v>73</v>
      </c>
      <c r="G42" s="12" t="str">
        <f aca="false">G33</f>
        <v>VLADIVOSTOK (VMPP)
&amp; VRANGEL</v>
      </c>
      <c r="H42" s="10" t="s">
        <v>205</v>
      </c>
      <c r="I42" s="10" t="s">
        <v>206</v>
      </c>
      <c r="J42" s="18" t="n">
        <f aca="false">J33</f>
        <v>6</v>
      </c>
      <c r="K42" s="9" t="str">
        <f aca="false">K33</f>
        <v>DIRECT</v>
      </c>
      <c r="L42" s="10" t="n">
        <v>46096</v>
      </c>
      <c r="M42" s="12" t="str">
        <f aca="false">M33</f>
        <v>Include DTHC</v>
      </c>
    </row>
    <row r="43" customFormat="false" ht="28.9" hidden="false" customHeight="false" outlineLevel="0" collapsed="false">
      <c r="A43" s="2"/>
      <c r="B43" s="7" t="s">
        <v>43</v>
      </c>
      <c r="C43" s="44" t="s">
        <v>30</v>
      </c>
      <c r="D43" s="51" t="s">
        <v>30</v>
      </c>
      <c r="E43" s="44" t="s">
        <v>30</v>
      </c>
      <c r="F43" s="51" t="s">
        <v>30</v>
      </c>
      <c r="G43" s="9" t="str">
        <f aca="false">G34</f>
        <v>Vladivostok Commercial Port</v>
      </c>
      <c r="H43" s="59" t="str">
        <f aca="false">H34</f>
        <v>/</v>
      </c>
      <c r="I43" s="10" t="str">
        <f aca="false">I34</f>
        <v>/</v>
      </c>
      <c r="J43" s="9" t="n">
        <f aca="false">J34</f>
        <v>5</v>
      </c>
      <c r="K43" s="9" t="str">
        <f aca="false">K34</f>
        <v>DIRECT</v>
      </c>
      <c r="L43" s="59" t="str">
        <f aca="false">L34</f>
        <v>/</v>
      </c>
      <c r="M43" s="12" t="str">
        <f aca="false">M34</f>
        <v>Include DTHC $350/450
DTHC PP/CC Available</v>
      </c>
    </row>
    <row r="44" customFormat="false" ht="16.25" hidden="false" customHeight="false" outlineLevel="0" collapsed="false">
      <c r="A44" s="2"/>
      <c r="B44" s="7" t="s">
        <v>49</v>
      </c>
      <c r="C44" s="44" t="s">
        <v>30</v>
      </c>
      <c r="D44" s="51" t="s">
        <v>30</v>
      </c>
      <c r="E44" s="44" t="s">
        <v>30</v>
      </c>
      <c r="F44" s="51" t="s">
        <v>30</v>
      </c>
      <c r="G44" s="9" t="str">
        <f aca="false">G35</f>
        <v>Vladivostok Fish Port</v>
      </c>
      <c r="H44" s="10" t="str">
        <f aca="false">H35</f>
        <v>/</v>
      </c>
      <c r="I44" s="10" t="str">
        <f aca="false">I35</f>
        <v>/</v>
      </c>
      <c r="J44" s="9" t="n">
        <f aca="false">J35</f>
        <v>19</v>
      </c>
      <c r="K44" s="9" t="str">
        <f aca="false">K35</f>
        <v>VIA BUSAN</v>
      </c>
      <c r="L44" s="20" t="n">
        <f aca="false">L35</f>
        <v>46081</v>
      </c>
      <c r="M44" s="12" t="str">
        <f aca="false">M35</f>
        <v>Include DTHC、DDF</v>
      </c>
    </row>
    <row r="45" customFormat="false" ht="12.75" hidden="false" customHeight="false" outlineLevel="0" collapsed="false">
      <c r="I45" s="10"/>
    </row>
    <row r="46" customFormat="false" ht="15.05" hidden="false" customHeight="true" outlineLevel="0" collapsed="false">
      <c r="A46" s="2" t="s">
        <v>213</v>
      </c>
      <c r="B46" s="3" t="s">
        <v>1</v>
      </c>
      <c r="C46" s="4" t="s">
        <v>70</v>
      </c>
      <c r="D46" s="4"/>
      <c r="E46" s="4" t="s">
        <v>71</v>
      </c>
      <c r="F46" s="4"/>
      <c r="G46" s="4" t="s">
        <v>4</v>
      </c>
      <c r="H46" s="4" t="s">
        <v>5</v>
      </c>
      <c r="I46" s="4" t="s">
        <v>7</v>
      </c>
      <c r="J46" s="4" t="s">
        <v>8</v>
      </c>
      <c r="K46" s="4" t="s">
        <v>9</v>
      </c>
      <c r="L46" s="5" t="s">
        <v>10</v>
      </c>
      <c r="M46" s="4" t="s">
        <v>136</v>
      </c>
    </row>
    <row r="47" customFormat="false" ht="42.75" hidden="false" customHeight="true" outlineLevel="0" collapsed="false">
      <c r="A47" s="2"/>
      <c r="B47" s="7" t="s">
        <v>29</v>
      </c>
      <c r="C47" s="61" t="n">
        <v>1650</v>
      </c>
      <c r="D47" s="61" t="s">
        <v>73</v>
      </c>
      <c r="E47" s="61" t="n">
        <v>2570</v>
      </c>
      <c r="F47" s="61" t="s">
        <v>73</v>
      </c>
      <c r="G47" s="9" t="str">
        <f aca="false">G38</f>
        <v>Vladivostok Commercial Port</v>
      </c>
      <c r="H47" s="10" t="s">
        <v>201</v>
      </c>
      <c r="I47" s="10"/>
      <c r="J47" s="16" t="str">
        <f aca="false">J38</f>
        <v>10~11</v>
      </c>
      <c r="K47" s="9" t="str">
        <f aca="false">K38</f>
        <v>VIA SHANGHAI</v>
      </c>
      <c r="L47" s="58" t="n">
        <f aca="false">L38</f>
        <v>46081</v>
      </c>
      <c r="M47" s="12" t="str">
        <f aca="false">M38</f>
        <v>Include DTHC $400/500
DDF $50/bill
DTHC&amp;DDF PP/CC Available</v>
      </c>
    </row>
    <row r="48" customFormat="false" ht="28.9" hidden="false" customHeight="false" outlineLevel="0" collapsed="false">
      <c r="A48" s="2"/>
      <c r="B48" s="7" t="s">
        <v>21</v>
      </c>
      <c r="C48" s="51" t="n">
        <v>1440</v>
      </c>
      <c r="D48" s="8" t="s">
        <v>72</v>
      </c>
      <c r="E48" s="51" t="n">
        <v>1930</v>
      </c>
      <c r="F48" s="8" t="s">
        <v>72</v>
      </c>
      <c r="G48" s="9" t="str">
        <f aca="false">G39</f>
        <v>Vladivostok Commercial Port</v>
      </c>
      <c r="H48" s="10" t="s">
        <v>202</v>
      </c>
      <c r="I48" s="10" t="n">
        <v>46092</v>
      </c>
      <c r="J48" s="18" t="n">
        <f aca="false">J39</f>
        <v>5</v>
      </c>
      <c r="K48" s="9" t="str">
        <f aca="false">K39</f>
        <v>DIRECT</v>
      </c>
      <c r="L48" s="10" t="n">
        <f aca="false">L39</f>
        <v>46092</v>
      </c>
      <c r="M48" s="12" t="str">
        <f aca="false">M39</f>
        <v>Include DTHC $550/650
DTHC PP/CC Available</v>
      </c>
    </row>
    <row r="49" customFormat="false" ht="28.9" hidden="false" customHeight="false" outlineLevel="0" collapsed="false">
      <c r="A49" s="2"/>
      <c r="B49" s="14" t="s">
        <v>27</v>
      </c>
      <c r="C49" s="51" t="n">
        <v>1440</v>
      </c>
      <c r="D49" s="8" t="s">
        <v>72</v>
      </c>
      <c r="E49" s="51" t="n">
        <v>1930</v>
      </c>
      <c r="F49" s="8" t="s">
        <v>72</v>
      </c>
      <c r="G49" s="9" t="str">
        <f aca="false">G40</f>
        <v>Vladivostok Commercial Port</v>
      </c>
      <c r="H49" s="10" t="s">
        <v>202</v>
      </c>
      <c r="I49" s="10" t="n">
        <v>46092</v>
      </c>
      <c r="J49" s="18" t="n">
        <f aca="false">J40</f>
        <v>5</v>
      </c>
      <c r="K49" s="9" t="str">
        <f aca="false">K40</f>
        <v>DIRECT</v>
      </c>
      <c r="L49" s="10" t="n">
        <f aca="false">L40</f>
        <v>46092</v>
      </c>
      <c r="M49" s="12" t="str">
        <f aca="false">M40</f>
        <v>Include DTHC $550/650
DTHC PP/CC Available</v>
      </c>
    </row>
    <row r="50" customFormat="false" ht="15.05" hidden="false" customHeight="false" outlineLevel="0" collapsed="false">
      <c r="A50" s="2"/>
      <c r="B50" s="7" t="s">
        <v>203</v>
      </c>
      <c r="C50" s="44" t="s">
        <v>30</v>
      </c>
      <c r="D50" s="51" t="s">
        <v>30</v>
      </c>
      <c r="E50" s="44" t="s">
        <v>30</v>
      </c>
      <c r="F50" s="51" t="s">
        <v>30</v>
      </c>
      <c r="G50" s="9" t="str">
        <f aca="false">G41</f>
        <v>Vostochny</v>
      </c>
      <c r="H50" s="10" t="str">
        <f aca="false">H41</f>
        <v>/</v>
      </c>
      <c r="I50" s="10" t="str">
        <f aca="false">I41</f>
        <v>/</v>
      </c>
      <c r="J50" s="18" t="n">
        <f aca="false">J41</f>
        <v>7</v>
      </c>
      <c r="K50" s="9" t="str">
        <f aca="false">K41</f>
        <v>DIRECT</v>
      </c>
      <c r="L50" s="10" t="n">
        <f aca="false">L41</f>
        <v>45945</v>
      </c>
      <c r="M50" s="12" t="str">
        <f aca="false">M41</f>
        <v>Include DTHC</v>
      </c>
    </row>
    <row r="51" customFormat="false" ht="42.75" hidden="false" customHeight="false" outlineLevel="0" collapsed="false">
      <c r="A51" s="2"/>
      <c r="B51" s="7" t="s">
        <v>54</v>
      </c>
      <c r="C51" s="61" t="n">
        <v>1690</v>
      </c>
      <c r="D51" s="8" t="s">
        <v>73</v>
      </c>
      <c r="E51" s="61" t="n">
        <v>2180</v>
      </c>
      <c r="F51" s="8" t="s">
        <v>73</v>
      </c>
      <c r="G51" s="12" t="str">
        <f aca="false">G42</f>
        <v>VLADIVOSTOK (VMPP)
&amp; VRANGEL</v>
      </c>
      <c r="H51" s="10" t="s">
        <v>205</v>
      </c>
      <c r="I51" s="10" t="s">
        <v>206</v>
      </c>
      <c r="J51" s="18" t="n">
        <f aca="false">J42</f>
        <v>6</v>
      </c>
      <c r="K51" s="9" t="str">
        <f aca="false">K42</f>
        <v>DIRECT</v>
      </c>
      <c r="L51" s="10" t="n">
        <v>46096</v>
      </c>
      <c r="M51" s="12" t="str">
        <f aca="false">M42</f>
        <v>Include DTHC</v>
      </c>
      <c r="N51" s="53" t="s">
        <v>75</v>
      </c>
    </row>
    <row r="52" customFormat="false" ht="28.9" hidden="false" customHeight="false" outlineLevel="0" collapsed="false">
      <c r="A52" s="2"/>
      <c r="B52" s="7" t="s">
        <v>43</v>
      </c>
      <c r="C52" s="44" t="s">
        <v>30</v>
      </c>
      <c r="D52" s="51" t="s">
        <v>30</v>
      </c>
      <c r="E52" s="44" t="s">
        <v>30</v>
      </c>
      <c r="F52" s="51" t="s">
        <v>30</v>
      </c>
      <c r="G52" s="9" t="str">
        <f aca="false">G43</f>
        <v>Vladivostok Commercial Port</v>
      </c>
      <c r="H52" s="59" t="str">
        <f aca="false">H43</f>
        <v>/</v>
      </c>
      <c r="I52" s="10" t="str">
        <f aca="false">I43</f>
        <v>/</v>
      </c>
      <c r="J52" s="9" t="n">
        <f aca="false">J43</f>
        <v>5</v>
      </c>
      <c r="K52" s="9" t="str">
        <f aca="false">K43</f>
        <v>DIRECT</v>
      </c>
      <c r="L52" s="59" t="str">
        <f aca="false">L43</f>
        <v>/</v>
      </c>
      <c r="M52" s="12" t="str">
        <f aca="false">M43</f>
        <v>Include DTHC $350/450
DTHC PP/CC Available</v>
      </c>
    </row>
    <row r="53" customFormat="false" ht="16.25" hidden="false" customHeight="false" outlineLevel="0" collapsed="false">
      <c r="A53" s="2"/>
      <c r="B53" s="7" t="s">
        <v>49</v>
      </c>
      <c r="C53" s="44" t="s">
        <v>30</v>
      </c>
      <c r="D53" s="51" t="s">
        <v>30</v>
      </c>
      <c r="E53" s="44" t="s">
        <v>30</v>
      </c>
      <c r="F53" s="51" t="s">
        <v>30</v>
      </c>
      <c r="G53" s="9" t="str">
        <f aca="false">G44</f>
        <v>Vladivostok Fish Port</v>
      </c>
      <c r="H53" s="10" t="str">
        <f aca="false">H44</f>
        <v>/</v>
      </c>
      <c r="I53" s="10" t="str">
        <f aca="false">I44</f>
        <v>/</v>
      </c>
      <c r="J53" s="9" t="n">
        <f aca="false">J44</f>
        <v>19</v>
      </c>
      <c r="K53" s="9" t="str">
        <f aca="false">K44</f>
        <v>VIA BUSAN</v>
      </c>
      <c r="L53" s="20" t="n">
        <f aca="false">L44</f>
        <v>46081</v>
      </c>
      <c r="M53" s="12" t="str">
        <f aca="false">M44</f>
        <v>Include DTHC、DDF</v>
      </c>
    </row>
    <row r="54" customFormat="false" ht="12.75" hidden="false" customHeight="false" outlineLevel="0" collapsed="false">
      <c r="I54" s="10"/>
    </row>
    <row r="55" customFormat="false" ht="15.05" hidden="false" customHeight="true" outlineLevel="0" collapsed="false">
      <c r="A55" s="2" t="s">
        <v>214</v>
      </c>
      <c r="B55" s="3" t="s">
        <v>1</v>
      </c>
      <c r="C55" s="4" t="s">
        <v>70</v>
      </c>
      <c r="D55" s="4"/>
      <c r="E55" s="4" t="s">
        <v>71</v>
      </c>
      <c r="F55" s="4"/>
      <c r="G55" s="4" t="s">
        <v>4</v>
      </c>
      <c r="H55" s="4" t="s">
        <v>5</v>
      </c>
      <c r="I55" s="4" t="s">
        <v>7</v>
      </c>
      <c r="J55" s="4" t="s">
        <v>8</v>
      </c>
      <c r="K55" s="4" t="s">
        <v>9</v>
      </c>
      <c r="L55" s="5" t="s">
        <v>10</v>
      </c>
      <c r="M55" s="4" t="s">
        <v>136</v>
      </c>
    </row>
    <row r="56" customFormat="false" ht="42.75" hidden="false" customHeight="true" outlineLevel="0" collapsed="false">
      <c r="A56" s="2"/>
      <c r="B56" s="7" t="s">
        <v>29</v>
      </c>
      <c r="C56" s="8" t="n">
        <v>1900</v>
      </c>
      <c r="D56" s="8" t="s">
        <v>73</v>
      </c>
      <c r="E56" s="8" t="n">
        <v>3000</v>
      </c>
      <c r="F56" s="8" t="s">
        <v>73</v>
      </c>
      <c r="G56" s="9" t="str">
        <f aca="false">G47</f>
        <v>Vladivostok Commercial Port</v>
      </c>
      <c r="H56" s="10" t="s">
        <v>201</v>
      </c>
      <c r="I56" s="10"/>
      <c r="J56" s="16" t="str">
        <f aca="false">J47</f>
        <v>10~11</v>
      </c>
      <c r="K56" s="9" t="str">
        <f aca="false">K47</f>
        <v>VIA SHANGHAI</v>
      </c>
      <c r="L56" s="58" t="n">
        <f aca="false">L47</f>
        <v>46081</v>
      </c>
      <c r="M56" s="12" t="str">
        <f aca="false">M47</f>
        <v>Include DTHC $400/500
DDF $50/bill
DTHC&amp;DDF PP/CC Available</v>
      </c>
    </row>
    <row r="57" customFormat="false" ht="28.9" hidden="false" customHeight="false" outlineLevel="0" collapsed="false">
      <c r="A57" s="2"/>
      <c r="B57" s="7" t="s">
        <v>21</v>
      </c>
      <c r="C57" s="51" t="n">
        <v>1640</v>
      </c>
      <c r="D57" s="8" t="s">
        <v>72</v>
      </c>
      <c r="E57" s="51" t="n">
        <v>2430</v>
      </c>
      <c r="F57" s="8" t="s">
        <v>72</v>
      </c>
      <c r="G57" s="9" t="str">
        <f aca="false">G48</f>
        <v>Vladivostok Commercial Port</v>
      </c>
      <c r="H57" s="10" t="s">
        <v>202</v>
      </c>
      <c r="I57" s="10" t="n">
        <v>46092</v>
      </c>
      <c r="J57" s="18" t="n">
        <f aca="false">J48</f>
        <v>5</v>
      </c>
      <c r="K57" s="9" t="str">
        <f aca="false">K48</f>
        <v>DIRECT</v>
      </c>
      <c r="L57" s="10" t="n">
        <f aca="false">L48</f>
        <v>46092</v>
      </c>
      <c r="M57" s="12" t="str">
        <f aca="false">M48</f>
        <v>Include DTHC $550/650
DTHC PP/CC Available</v>
      </c>
    </row>
    <row r="58" customFormat="false" ht="28.9" hidden="false" customHeight="false" outlineLevel="0" collapsed="false">
      <c r="A58" s="2"/>
      <c r="B58" s="14" t="s">
        <v>27</v>
      </c>
      <c r="C58" s="51" t="n">
        <v>1640</v>
      </c>
      <c r="D58" s="8" t="s">
        <v>72</v>
      </c>
      <c r="E58" s="51" t="n">
        <v>2430</v>
      </c>
      <c r="F58" s="8" t="s">
        <v>72</v>
      </c>
      <c r="G58" s="9" t="str">
        <f aca="false">G49</f>
        <v>Vladivostok Commercial Port</v>
      </c>
      <c r="H58" s="10" t="s">
        <v>202</v>
      </c>
      <c r="I58" s="10" t="n">
        <v>46092</v>
      </c>
      <c r="J58" s="18" t="n">
        <f aca="false">J49</f>
        <v>5</v>
      </c>
      <c r="K58" s="9" t="str">
        <f aca="false">K49</f>
        <v>DIRECT</v>
      </c>
      <c r="L58" s="10" t="n">
        <f aca="false">L49</f>
        <v>46092</v>
      </c>
      <c r="M58" s="12" t="str">
        <f aca="false">M49</f>
        <v>Include DTHC $550/650
DTHC PP/CC Available</v>
      </c>
    </row>
    <row r="59" customFormat="false" ht="15.05" hidden="false" customHeight="false" outlineLevel="0" collapsed="false">
      <c r="A59" s="2"/>
      <c r="B59" s="7" t="s">
        <v>203</v>
      </c>
      <c r="C59" s="44" t="s">
        <v>30</v>
      </c>
      <c r="D59" s="51" t="s">
        <v>30</v>
      </c>
      <c r="E59" s="44" t="s">
        <v>30</v>
      </c>
      <c r="F59" s="51" t="s">
        <v>30</v>
      </c>
      <c r="G59" s="9" t="str">
        <f aca="false">G50</f>
        <v>Vostochny</v>
      </c>
      <c r="H59" s="10" t="str">
        <f aca="false">H50</f>
        <v>/</v>
      </c>
      <c r="I59" s="10" t="str">
        <f aca="false">I50</f>
        <v>/</v>
      </c>
      <c r="J59" s="18" t="n">
        <f aca="false">J50</f>
        <v>7</v>
      </c>
      <c r="K59" s="9" t="str">
        <f aca="false">K50</f>
        <v>DIRECT</v>
      </c>
      <c r="L59" s="10" t="n">
        <f aca="false">L50</f>
        <v>45945</v>
      </c>
      <c r="M59" s="12" t="str">
        <f aca="false">M50</f>
        <v>Include DTHC</v>
      </c>
    </row>
    <row r="60" customFormat="false" ht="42.75" hidden="false" customHeight="false" outlineLevel="0" collapsed="false">
      <c r="A60" s="2"/>
      <c r="B60" s="7" t="s">
        <v>54</v>
      </c>
      <c r="C60" s="61" t="n">
        <v>1940</v>
      </c>
      <c r="D60" s="8" t="s">
        <v>73</v>
      </c>
      <c r="E60" s="61" t="n">
        <v>2710</v>
      </c>
      <c r="F60" s="8" t="s">
        <v>73</v>
      </c>
      <c r="G60" s="12" t="str">
        <f aca="false">G51</f>
        <v>VLADIVOSTOK (VMPP)
&amp; VRANGEL</v>
      </c>
      <c r="H60" s="10" t="s">
        <v>205</v>
      </c>
      <c r="I60" s="10" t="s">
        <v>206</v>
      </c>
      <c r="J60" s="18" t="n">
        <f aca="false">J51</f>
        <v>6</v>
      </c>
      <c r="K60" s="9" t="str">
        <f aca="false">K51</f>
        <v>DIRECT</v>
      </c>
      <c r="L60" s="10" t="n">
        <v>46096</v>
      </c>
      <c r="M60" s="12" t="str">
        <f aca="false">M51</f>
        <v>Include DTHC</v>
      </c>
      <c r="N60" s="53" t="s">
        <v>75</v>
      </c>
    </row>
    <row r="61" customFormat="false" ht="28.9" hidden="false" customHeight="false" outlineLevel="0" collapsed="false">
      <c r="A61" s="2"/>
      <c r="B61" s="7" t="s">
        <v>43</v>
      </c>
      <c r="C61" s="44" t="s">
        <v>30</v>
      </c>
      <c r="D61" s="51" t="s">
        <v>30</v>
      </c>
      <c r="E61" s="44" t="s">
        <v>30</v>
      </c>
      <c r="F61" s="51" t="s">
        <v>30</v>
      </c>
      <c r="G61" s="9" t="str">
        <f aca="false">G52</f>
        <v>Vladivostok Commercial Port</v>
      </c>
      <c r="H61" s="59" t="str">
        <f aca="false">H52</f>
        <v>/</v>
      </c>
      <c r="I61" s="10" t="str">
        <f aca="false">I52</f>
        <v>/</v>
      </c>
      <c r="J61" s="9" t="n">
        <f aca="false">J52</f>
        <v>5</v>
      </c>
      <c r="K61" s="9" t="str">
        <f aca="false">K52</f>
        <v>DIRECT</v>
      </c>
      <c r="L61" s="59" t="str">
        <f aca="false">L52</f>
        <v>/</v>
      </c>
      <c r="M61" s="12" t="str">
        <f aca="false">M52</f>
        <v>Include DTHC $350/450
DTHC PP/CC Available</v>
      </c>
    </row>
    <row r="62" customFormat="false" ht="16.25" hidden="false" customHeight="false" outlineLevel="0" collapsed="false">
      <c r="A62" s="2"/>
      <c r="B62" s="7" t="s">
        <v>49</v>
      </c>
      <c r="C62" s="44" t="s">
        <v>30</v>
      </c>
      <c r="D62" s="51" t="s">
        <v>30</v>
      </c>
      <c r="E62" s="44" t="s">
        <v>30</v>
      </c>
      <c r="F62" s="51" t="s">
        <v>30</v>
      </c>
      <c r="G62" s="9" t="str">
        <f aca="false">G53</f>
        <v>Vladivostok Fish Port</v>
      </c>
      <c r="H62" s="10" t="str">
        <f aca="false">H53</f>
        <v>/</v>
      </c>
      <c r="I62" s="10" t="str">
        <f aca="false">I53</f>
        <v>/</v>
      </c>
      <c r="J62" s="9" t="n">
        <f aca="false">J53</f>
        <v>19</v>
      </c>
      <c r="K62" s="9" t="str">
        <f aca="false">K53</f>
        <v>VIA BUSAN</v>
      </c>
      <c r="L62" s="20" t="n">
        <f aca="false">L53</f>
        <v>46081</v>
      </c>
      <c r="M62" s="12" t="str">
        <f aca="false">M53</f>
        <v>Include DTHC、DDF</v>
      </c>
    </row>
    <row r="63" customFormat="false" ht="12.75" hidden="false" customHeight="false" outlineLevel="0" collapsed="false">
      <c r="I63" s="10"/>
    </row>
    <row r="64" customFormat="false" ht="15.05" hidden="false" customHeight="true" outlineLevel="0" collapsed="false">
      <c r="A64" s="2" t="s">
        <v>215</v>
      </c>
      <c r="B64" s="3" t="s">
        <v>1</v>
      </c>
      <c r="C64" s="4" t="s">
        <v>70</v>
      </c>
      <c r="D64" s="4"/>
      <c r="E64" s="4" t="s">
        <v>71</v>
      </c>
      <c r="F64" s="4"/>
      <c r="G64" s="4" t="s">
        <v>4</v>
      </c>
      <c r="H64" s="4" t="s">
        <v>5</v>
      </c>
      <c r="I64" s="4" t="s">
        <v>7</v>
      </c>
      <c r="J64" s="4" t="s">
        <v>8</v>
      </c>
      <c r="K64" s="4" t="s">
        <v>9</v>
      </c>
      <c r="L64" s="5" t="s">
        <v>10</v>
      </c>
      <c r="M64" s="4" t="s">
        <v>136</v>
      </c>
    </row>
    <row r="65" customFormat="false" ht="42.75" hidden="false" customHeight="true" outlineLevel="0" collapsed="false">
      <c r="A65" s="2"/>
      <c r="B65" s="7" t="s">
        <v>29</v>
      </c>
      <c r="C65" s="61" t="n">
        <v>1650</v>
      </c>
      <c r="D65" s="8" t="s">
        <v>73</v>
      </c>
      <c r="E65" s="8" t="n">
        <v>2420</v>
      </c>
      <c r="F65" s="8" t="s">
        <v>73</v>
      </c>
      <c r="G65" s="9" t="str">
        <f aca="false">G56</f>
        <v>Vladivostok Commercial Port</v>
      </c>
      <c r="H65" s="10" t="s">
        <v>201</v>
      </c>
      <c r="I65" s="10"/>
      <c r="J65" s="16" t="str">
        <f aca="false">J56</f>
        <v>10~11</v>
      </c>
      <c r="K65" s="9" t="str">
        <f aca="false">K56</f>
        <v>VIA SHANGHAI</v>
      </c>
      <c r="L65" s="58" t="n">
        <f aca="false">L56</f>
        <v>46081</v>
      </c>
      <c r="M65" s="12" t="str">
        <f aca="false">M56</f>
        <v>Include DTHC $400/500
DDF $50/bill
DTHC&amp;DDF PP/CC Available</v>
      </c>
    </row>
    <row r="66" customFormat="false" ht="28.9" hidden="false" customHeight="false" outlineLevel="0" collapsed="false">
      <c r="A66" s="2"/>
      <c r="B66" s="7" t="s">
        <v>21</v>
      </c>
      <c r="C66" s="51" t="n">
        <v>1440</v>
      </c>
      <c r="D66" s="8" t="s">
        <v>72</v>
      </c>
      <c r="E66" s="44" t="n">
        <v>1930</v>
      </c>
      <c r="F66" s="8" t="s">
        <v>72</v>
      </c>
      <c r="G66" s="9" t="str">
        <f aca="false">G57</f>
        <v>Vladivostok Commercial Port</v>
      </c>
      <c r="H66" s="10" t="s">
        <v>202</v>
      </c>
      <c r="I66" s="10" t="n">
        <v>46092</v>
      </c>
      <c r="J66" s="18" t="n">
        <f aca="false">J57</f>
        <v>5</v>
      </c>
      <c r="K66" s="9" t="str">
        <f aca="false">K57</f>
        <v>DIRECT</v>
      </c>
      <c r="L66" s="10" t="n">
        <f aca="false">L57</f>
        <v>46092</v>
      </c>
      <c r="M66" s="12" t="str">
        <f aca="false">M57</f>
        <v>Include DTHC $550/650
DTHC PP/CC Available</v>
      </c>
    </row>
    <row r="67" customFormat="false" ht="28.9" hidden="false" customHeight="false" outlineLevel="0" collapsed="false">
      <c r="A67" s="2"/>
      <c r="B67" s="14" t="s">
        <v>27</v>
      </c>
      <c r="C67" s="51" t="n">
        <v>1440</v>
      </c>
      <c r="D67" s="8" t="s">
        <v>72</v>
      </c>
      <c r="E67" s="44" t="n">
        <v>1930</v>
      </c>
      <c r="F67" s="8" t="s">
        <v>72</v>
      </c>
      <c r="G67" s="9" t="str">
        <f aca="false">G58</f>
        <v>Vladivostok Commercial Port</v>
      </c>
      <c r="H67" s="10" t="s">
        <v>202</v>
      </c>
      <c r="I67" s="10" t="n">
        <v>46092</v>
      </c>
      <c r="J67" s="18" t="n">
        <f aca="false">J58</f>
        <v>5</v>
      </c>
      <c r="K67" s="9" t="str">
        <f aca="false">K58</f>
        <v>DIRECT</v>
      </c>
      <c r="L67" s="10" t="n">
        <f aca="false">L58</f>
        <v>46092</v>
      </c>
      <c r="M67" s="12" t="str">
        <f aca="false">M58</f>
        <v>Include DTHC $550/650
DTHC PP/CC Available</v>
      </c>
    </row>
    <row r="68" customFormat="false" ht="15.05" hidden="false" customHeight="false" outlineLevel="0" collapsed="false">
      <c r="A68" s="2"/>
      <c r="B68" s="7" t="s">
        <v>203</v>
      </c>
      <c r="C68" s="44" t="s">
        <v>30</v>
      </c>
      <c r="D68" s="51" t="s">
        <v>30</v>
      </c>
      <c r="E68" s="44" t="s">
        <v>30</v>
      </c>
      <c r="F68" s="51" t="s">
        <v>30</v>
      </c>
      <c r="G68" s="9" t="str">
        <f aca="false">G59</f>
        <v>Vostochny</v>
      </c>
      <c r="H68" s="10" t="str">
        <f aca="false">H59</f>
        <v>/</v>
      </c>
      <c r="I68" s="10" t="str">
        <f aca="false">I59</f>
        <v>/</v>
      </c>
      <c r="J68" s="18" t="n">
        <f aca="false">J59</f>
        <v>7</v>
      </c>
      <c r="K68" s="9" t="str">
        <f aca="false">K59</f>
        <v>DIRECT</v>
      </c>
      <c r="L68" s="10" t="n">
        <f aca="false">L59</f>
        <v>45945</v>
      </c>
      <c r="M68" s="12" t="str">
        <f aca="false">M59</f>
        <v>Include DTHC</v>
      </c>
    </row>
    <row r="69" customFormat="false" ht="42.75" hidden="false" customHeight="false" outlineLevel="0" collapsed="false">
      <c r="A69" s="2"/>
      <c r="B69" s="7" t="s">
        <v>54</v>
      </c>
      <c r="C69" s="61" t="n">
        <v>1690</v>
      </c>
      <c r="D69" s="8" t="s">
        <v>73</v>
      </c>
      <c r="E69" s="61" t="n">
        <v>2080</v>
      </c>
      <c r="F69" s="8" t="s">
        <v>73</v>
      </c>
      <c r="G69" s="12" t="str">
        <f aca="false">G60</f>
        <v>VLADIVOSTOK (VMPP)
&amp; VRANGEL</v>
      </c>
      <c r="H69" s="10" t="s">
        <v>205</v>
      </c>
      <c r="I69" s="10" t="s">
        <v>206</v>
      </c>
      <c r="J69" s="18" t="n">
        <f aca="false">J60</f>
        <v>6</v>
      </c>
      <c r="K69" s="9" t="str">
        <f aca="false">K60</f>
        <v>DIRECT</v>
      </c>
      <c r="L69" s="10" t="n">
        <v>46096</v>
      </c>
      <c r="M69" s="12" t="str">
        <f aca="false">M60</f>
        <v>Include DTHC</v>
      </c>
    </row>
    <row r="70" customFormat="false" ht="28.9" hidden="false" customHeight="false" outlineLevel="0" collapsed="false">
      <c r="A70" s="2"/>
      <c r="B70" s="7" t="s">
        <v>43</v>
      </c>
      <c r="C70" s="44" t="s">
        <v>30</v>
      </c>
      <c r="D70" s="51" t="s">
        <v>30</v>
      </c>
      <c r="E70" s="44" t="s">
        <v>30</v>
      </c>
      <c r="F70" s="51" t="s">
        <v>30</v>
      </c>
      <c r="G70" s="9" t="str">
        <f aca="false">G61</f>
        <v>Vladivostok Commercial Port</v>
      </c>
      <c r="H70" s="59" t="str">
        <f aca="false">H61</f>
        <v>/</v>
      </c>
      <c r="I70" s="59" t="str">
        <f aca="false">I61</f>
        <v>/</v>
      </c>
      <c r="J70" s="9" t="n">
        <f aca="false">J61</f>
        <v>5</v>
      </c>
      <c r="K70" s="9" t="str">
        <f aca="false">K61</f>
        <v>DIRECT</v>
      </c>
      <c r="L70" s="59" t="str">
        <f aca="false">L61</f>
        <v>/</v>
      </c>
      <c r="M70" s="12" t="str">
        <f aca="false">M61</f>
        <v>Include DTHC $350/450
DTHC PP/CC Available</v>
      </c>
    </row>
    <row r="71" customFormat="false" ht="16.25" hidden="false" customHeight="false" outlineLevel="0" collapsed="false">
      <c r="A71" s="2"/>
      <c r="B71" s="7" t="s">
        <v>49</v>
      </c>
      <c r="C71" s="44" t="s">
        <v>30</v>
      </c>
      <c r="D71" s="51" t="s">
        <v>30</v>
      </c>
      <c r="E71" s="44" t="s">
        <v>30</v>
      </c>
      <c r="F71" s="51" t="s">
        <v>30</v>
      </c>
      <c r="G71" s="9" t="str">
        <f aca="false">G62</f>
        <v>Vladivostok Fish Port</v>
      </c>
      <c r="H71" s="10" t="str">
        <f aca="false">H62</f>
        <v>/</v>
      </c>
      <c r="I71" s="10" t="str">
        <f aca="false">I62</f>
        <v>/</v>
      </c>
      <c r="J71" s="9" t="n">
        <f aca="false">J62</f>
        <v>19</v>
      </c>
      <c r="K71" s="9" t="str">
        <f aca="false">K62</f>
        <v>VIA BUSAN</v>
      </c>
      <c r="L71" s="20" t="n">
        <f aca="false">L62</f>
        <v>46081</v>
      </c>
      <c r="M71" s="12" t="str">
        <f aca="false">M62</f>
        <v>Include DTHC、DDF</v>
      </c>
    </row>
    <row r="73" s="31" customFormat="true" ht="15" hidden="false" customHeight="false" outlineLevel="0" collapsed="false">
      <c r="A73" s="36" t="s">
        <v>84</v>
      </c>
    </row>
    <row r="74" s="31" customFormat="true" ht="15" hidden="false" customHeight="false" outlineLevel="0" collapsed="false">
      <c r="A74" s="37" t="s">
        <v>85</v>
      </c>
    </row>
    <row r="75" s="31" customFormat="true" ht="15" hidden="false" customHeight="false" outlineLevel="0" collapsed="false">
      <c r="A75" s="37" t="s">
        <v>86</v>
      </c>
    </row>
    <row r="76" s="31" customFormat="true" ht="13.5" hidden="false" customHeight="false" outlineLevel="0" collapsed="false"/>
    <row r="77" s="31" customFormat="true" ht="22.05" hidden="false" customHeight="false" outlineLevel="0" collapsed="false">
      <c r="L77" s="38" t="s">
        <v>87</v>
      </c>
    </row>
  </sheetData>
  <autoFilter ref="A1:N71"/>
  <mergeCells count="46">
    <mergeCell ref="A1:A8"/>
    <mergeCell ref="C1:D1"/>
    <mergeCell ref="E1:F1"/>
    <mergeCell ref="C2:D2"/>
    <mergeCell ref="E2:F2"/>
    <mergeCell ref="H2:I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A10:A17"/>
    <mergeCell ref="C10:D10"/>
    <mergeCell ref="E10:F10"/>
    <mergeCell ref="H11:I11"/>
    <mergeCell ref="A19:A26"/>
    <mergeCell ref="C19:D19"/>
    <mergeCell ref="E19:F19"/>
    <mergeCell ref="H20:I20"/>
    <mergeCell ref="A28:A35"/>
    <mergeCell ref="C28:D28"/>
    <mergeCell ref="E28:F28"/>
    <mergeCell ref="H29:I29"/>
    <mergeCell ref="A37:A44"/>
    <mergeCell ref="C37:D37"/>
    <mergeCell ref="E37:F37"/>
    <mergeCell ref="H38:I38"/>
    <mergeCell ref="A46:A53"/>
    <mergeCell ref="C46:D46"/>
    <mergeCell ref="E46:F46"/>
    <mergeCell ref="H47:I47"/>
    <mergeCell ref="A55:A62"/>
    <mergeCell ref="C55:D55"/>
    <mergeCell ref="E55:F55"/>
    <mergeCell ref="H56:I56"/>
    <mergeCell ref="A64:A71"/>
    <mergeCell ref="C64:D64"/>
    <mergeCell ref="E64:F64"/>
    <mergeCell ref="H65:I65"/>
  </mergeCells>
  <hyperlinks>
    <hyperlink ref="N2" location="XIAMEN!R13C1" display="Drop off Moscow"/>
    <hyperlink ref="N3" location="XIAMEN!R20C1" display="Drop off Novosibirsk"/>
    <hyperlink ref="N4" location="XIAMEN!R27C1" display="Drop off Ekaterinburg"/>
    <hyperlink ref="N5" location="XIAMEN!R34C1" display="Drop off Krasnoyarsk"/>
    <hyperlink ref="N6" location="XIAMEN!R41C1" display="Drop off St.Petersburg"/>
    <hyperlink ref="N7" location="XIAMEN!A55" display="Drop off Irkutsk"/>
    <hyperlink ref="N15" location="XIAMEN!R1C1" display="BACK"/>
    <hyperlink ref="N24" location="XIAMEN!R1C1" display="BACK"/>
    <hyperlink ref="N33" location="XIAMEN!R1C1" display="BACK"/>
    <hyperlink ref="N41" location="XIAMEN!R1C1" display="BACK"/>
    <hyperlink ref="N51" location="XIAMEN!R1C1" display="BACK"/>
    <hyperlink ref="N60" location="XIAMEN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4.89"/>
    <col collapsed="false" customWidth="true" hidden="false" outlineLevel="0" max="3" min="3" style="0" width="7.13"/>
    <col collapsed="false" customWidth="true" hidden="false" outlineLevel="0" max="4" min="4" style="0" width="5.12"/>
    <col collapsed="false" customWidth="true" hidden="false" outlineLevel="0" max="5" min="5" style="0" width="7.13"/>
    <col collapsed="false" customWidth="true" hidden="false" outlineLevel="0" max="6" min="6" style="0" width="5.12"/>
    <col collapsed="false" customWidth="true" hidden="false" outlineLevel="0" max="7" min="7" style="0" width="22.63"/>
    <col collapsed="false" customWidth="true" hidden="false" outlineLevel="0" max="8" min="8" style="0" width="23.46"/>
    <col collapsed="false" customWidth="true" hidden="false" outlineLevel="0" max="9" min="9" style="0" width="8.74"/>
    <col collapsed="false" customWidth="true" hidden="false" outlineLevel="0" max="10" min="10" style="0" width="6.88"/>
    <col collapsed="false" customWidth="true" hidden="false" outlineLevel="0" max="11" min="11" style="0" width="10.63"/>
    <col collapsed="false" customWidth="true" hidden="false" outlineLevel="0" max="12" min="12" style="0" width="8.16"/>
    <col collapsed="false" customWidth="true" hidden="false" outlineLevel="0" max="13" min="13" style="0" width="20.86"/>
    <col collapsed="false" customWidth="true" hidden="false" outlineLevel="0" max="14" min="14" style="0" width="19.63"/>
  </cols>
  <sheetData>
    <row r="1" customFormat="false" ht="17.45" hidden="false" customHeight="true" outlineLevel="0" collapsed="false">
      <c r="A1" s="2" t="s">
        <v>216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40" t="s">
        <v>12</v>
      </c>
    </row>
    <row r="2" customFormat="false" ht="28.9" hidden="false" customHeight="false" outlineLevel="0" collapsed="false">
      <c r="A2" s="2"/>
      <c r="B2" s="7" t="s">
        <v>64</v>
      </c>
      <c r="C2" s="8" t="n">
        <v>1330</v>
      </c>
      <c r="D2" s="8"/>
      <c r="E2" s="8" t="n">
        <v>1505</v>
      </c>
      <c r="F2" s="8"/>
      <c r="G2" s="9" t="s">
        <v>61</v>
      </c>
      <c r="H2" s="10" t="s">
        <v>217</v>
      </c>
      <c r="I2" s="10" t="n">
        <v>46079</v>
      </c>
      <c r="J2" s="18" t="n">
        <v>8</v>
      </c>
      <c r="K2" s="9" t="s">
        <v>16</v>
      </c>
      <c r="L2" s="10" t="n">
        <v>46079</v>
      </c>
      <c r="M2" s="9" t="s">
        <v>52</v>
      </c>
      <c r="N2" s="73" t="s">
        <v>20</v>
      </c>
    </row>
    <row r="3" customFormat="false" ht="56.6" hidden="false" customHeight="true" outlineLevel="0" collapsed="false">
      <c r="A3" s="2"/>
      <c r="B3" s="7" t="s">
        <v>29</v>
      </c>
      <c r="C3" s="8" t="n">
        <v>1620</v>
      </c>
      <c r="D3" s="8"/>
      <c r="E3" s="8" t="n">
        <v>2170</v>
      </c>
      <c r="F3" s="8"/>
      <c r="G3" s="9" t="s">
        <v>14</v>
      </c>
      <c r="H3" s="10" t="s">
        <v>218</v>
      </c>
      <c r="I3" s="10"/>
      <c r="J3" s="18" t="s">
        <v>219</v>
      </c>
      <c r="K3" s="9" t="s">
        <v>220</v>
      </c>
      <c r="L3" s="10" t="n">
        <v>46081</v>
      </c>
      <c r="M3" s="12" t="s">
        <v>33</v>
      </c>
      <c r="N3" s="73" t="s">
        <v>26</v>
      </c>
    </row>
    <row r="4" customFormat="false" ht="42.75" hidden="false" customHeight="false" outlineLevel="0" collapsed="false">
      <c r="A4" s="2"/>
      <c r="B4" s="7" t="s">
        <v>54</v>
      </c>
      <c r="C4" s="8" t="n">
        <v>1490</v>
      </c>
      <c r="D4" s="8"/>
      <c r="E4" s="8" t="n">
        <v>1730</v>
      </c>
      <c r="F4" s="8"/>
      <c r="G4" s="12" t="s">
        <v>204</v>
      </c>
      <c r="H4" s="10" t="s">
        <v>205</v>
      </c>
      <c r="I4" s="10" t="s">
        <v>221</v>
      </c>
      <c r="J4" s="18" t="n">
        <v>8</v>
      </c>
      <c r="K4" s="9" t="s">
        <v>16</v>
      </c>
      <c r="L4" s="10" t="n">
        <v>46096</v>
      </c>
      <c r="M4" s="9" t="s">
        <v>52</v>
      </c>
      <c r="N4" s="73" t="s">
        <v>28</v>
      </c>
    </row>
    <row r="5" customFormat="false" ht="16.25" hidden="false" customHeight="false" outlineLevel="0" collapsed="false">
      <c r="A5" s="2"/>
      <c r="B5" s="7" t="s">
        <v>49</v>
      </c>
      <c r="C5" s="8" t="s">
        <v>30</v>
      </c>
      <c r="D5" s="8"/>
      <c r="E5" s="8" t="s">
        <v>30</v>
      </c>
      <c r="F5" s="8"/>
      <c r="G5" s="9" t="s">
        <v>50</v>
      </c>
      <c r="H5" s="74" t="s">
        <v>30</v>
      </c>
      <c r="I5" s="10" t="s">
        <v>30</v>
      </c>
      <c r="J5" s="75" t="s">
        <v>222</v>
      </c>
      <c r="K5" s="9" t="s">
        <v>140</v>
      </c>
      <c r="L5" s="76" t="n">
        <v>46053</v>
      </c>
      <c r="M5" s="12" t="s">
        <v>52</v>
      </c>
      <c r="N5" s="73" t="s">
        <v>34</v>
      </c>
    </row>
    <row r="6" customFormat="false" ht="15.65" hidden="false" customHeight="false" outlineLevel="0" collapsed="false">
      <c r="N6" s="41" t="s">
        <v>42</v>
      </c>
    </row>
    <row r="7" s="22" customFormat="true" ht="13.5" hidden="false" customHeight="true" outlineLevel="0" collapsed="false">
      <c r="A7" s="2" t="s">
        <v>223</v>
      </c>
      <c r="B7" s="3" t="s">
        <v>1</v>
      </c>
      <c r="C7" s="4" t="s">
        <v>70</v>
      </c>
      <c r="D7" s="4"/>
      <c r="E7" s="4" t="s">
        <v>71</v>
      </c>
      <c r="F7" s="4"/>
      <c r="G7" s="4" t="s">
        <v>4</v>
      </c>
      <c r="H7" s="4" t="s">
        <v>5</v>
      </c>
      <c r="I7" s="4" t="s">
        <v>7</v>
      </c>
      <c r="J7" s="4" t="s">
        <v>8</v>
      </c>
      <c r="K7" s="4" t="s">
        <v>9</v>
      </c>
      <c r="L7" s="5" t="s">
        <v>10</v>
      </c>
      <c r="M7" s="5" t="s">
        <v>11</v>
      </c>
    </row>
    <row r="8" s="22" customFormat="true" ht="28.9" hidden="false" customHeight="false" outlineLevel="0" collapsed="false">
      <c r="A8" s="2"/>
      <c r="B8" s="7" t="s">
        <v>64</v>
      </c>
      <c r="C8" s="61" t="n">
        <v>1680</v>
      </c>
      <c r="D8" s="8" t="s">
        <v>72</v>
      </c>
      <c r="E8" s="61" t="n">
        <v>1955</v>
      </c>
      <c r="F8" s="8" t="s">
        <v>72</v>
      </c>
      <c r="G8" s="9" t="str">
        <f aca="false">G2</f>
        <v>Vostochny</v>
      </c>
      <c r="H8" s="10" t="str">
        <f aca="false">H2</f>
        <v>NEWNEW MOON
045N</v>
      </c>
      <c r="I8" s="10" t="n">
        <f aca="false">I2</f>
        <v>46079</v>
      </c>
      <c r="J8" s="18" t="n">
        <f aca="false">J2</f>
        <v>8</v>
      </c>
      <c r="K8" s="9" t="str">
        <f aca="false">K2</f>
        <v>DIRECT</v>
      </c>
      <c r="L8" s="10" t="n">
        <f aca="false">L2</f>
        <v>46079</v>
      </c>
      <c r="M8" s="9" t="str">
        <f aca="false">M2</f>
        <v>Include DTHC、DDF</v>
      </c>
    </row>
    <row r="9" s="22" customFormat="true" ht="56.6" hidden="false" customHeight="false" outlineLevel="0" collapsed="false">
      <c r="A9" s="2"/>
      <c r="B9" s="7" t="s">
        <v>29</v>
      </c>
      <c r="C9" s="61" t="n">
        <v>1770</v>
      </c>
      <c r="D9" s="8" t="s">
        <v>72</v>
      </c>
      <c r="E9" s="61" t="n">
        <v>2520</v>
      </c>
      <c r="F9" s="8" t="s">
        <v>72</v>
      </c>
      <c r="G9" s="9" t="str">
        <f aca="false">G3</f>
        <v>Vladivostok Commercial Port</v>
      </c>
      <c r="H9" s="10" t="str">
        <f aca="false">H3</f>
        <v>Tue&amp;Fri</v>
      </c>
      <c r="I9" s="10"/>
      <c r="J9" s="18" t="str">
        <f aca="false">J3</f>
        <v>20~21</v>
      </c>
      <c r="K9" s="9" t="str">
        <f aca="false">K3</f>
        <v>VIA SHA</v>
      </c>
      <c r="L9" s="20" t="n">
        <f aca="false">L3</f>
        <v>46081</v>
      </c>
      <c r="M9" s="12" t="str">
        <f aca="false">M3</f>
        <v>Include DTHC $400/500
DDF $50/bill
DTHC&amp;DDF PP/CC Available</v>
      </c>
    </row>
    <row r="10" s="22" customFormat="true" ht="28.9" hidden="false" customHeight="false" outlineLevel="0" collapsed="false">
      <c r="A10" s="2"/>
      <c r="B10" s="7" t="s">
        <v>54</v>
      </c>
      <c r="C10" s="61" t="s">
        <v>30</v>
      </c>
      <c r="D10" s="61" t="s">
        <v>30</v>
      </c>
      <c r="E10" s="61" t="n">
        <v>2380</v>
      </c>
      <c r="F10" s="8" t="s">
        <v>73</v>
      </c>
      <c r="G10" s="12" t="s">
        <v>208</v>
      </c>
      <c r="H10" s="10" t="s">
        <v>209</v>
      </c>
      <c r="I10" s="10" t="n">
        <v>46082</v>
      </c>
      <c r="J10" s="18" t="n">
        <f aca="false">J4</f>
        <v>8</v>
      </c>
      <c r="K10" s="9" t="str">
        <f aca="false">K4</f>
        <v>DIRECT</v>
      </c>
      <c r="L10" s="10" t="n">
        <v>46096</v>
      </c>
      <c r="M10" s="9" t="str">
        <f aca="false">M4</f>
        <v>Include DTHC、DDF</v>
      </c>
    </row>
    <row r="11" s="22" customFormat="true" ht="16.25" hidden="false" customHeight="false" outlineLevel="0" collapsed="false">
      <c r="A11" s="2"/>
      <c r="B11" s="7" t="s">
        <v>49</v>
      </c>
      <c r="C11" s="61" t="s">
        <v>30</v>
      </c>
      <c r="D11" s="61" t="s">
        <v>30</v>
      </c>
      <c r="E11" s="61" t="s">
        <v>30</v>
      </c>
      <c r="F11" s="61" t="s">
        <v>30</v>
      </c>
      <c r="G11" s="9" t="str">
        <f aca="false">G5</f>
        <v>Vladivostok Fish Port</v>
      </c>
      <c r="H11" s="74" t="str">
        <f aca="false">H5</f>
        <v>/</v>
      </c>
      <c r="I11" s="10" t="str">
        <f aca="false">I5</f>
        <v>/</v>
      </c>
      <c r="J11" s="75" t="str">
        <f aca="false">J5</f>
        <v>11~16</v>
      </c>
      <c r="K11" s="77" t="str">
        <f aca="false">K5</f>
        <v>VIA BUSAN</v>
      </c>
      <c r="L11" s="76" t="n">
        <f aca="false">L5</f>
        <v>46053</v>
      </c>
      <c r="M11" s="12" t="str">
        <f aca="false">M5</f>
        <v>Include DTHC、DDF</v>
      </c>
      <c r="N11" s="53" t="s">
        <v>75</v>
      </c>
    </row>
    <row r="12" s="31" customFormat="true" ht="13.5" hidden="false" customHeight="false" outlineLevel="0" collapsed="false"/>
    <row r="13" s="31" customFormat="true" ht="15.05" hidden="false" customHeight="true" outlineLevel="0" collapsed="false">
      <c r="A13" s="2" t="s">
        <v>224</v>
      </c>
      <c r="B13" s="3" t="s">
        <v>1</v>
      </c>
      <c r="C13" s="4" t="s">
        <v>70</v>
      </c>
      <c r="D13" s="4"/>
      <c r="E13" s="4" t="s">
        <v>71</v>
      </c>
      <c r="F13" s="4"/>
      <c r="G13" s="4" t="s">
        <v>4</v>
      </c>
      <c r="H13" s="4" t="s">
        <v>5</v>
      </c>
      <c r="I13" s="4" t="s">
        <v>7</v>
      </c>
      <c r="J13" s="4" t="s">
        <v>8</v>
      </c>
      <c r="K13" s="4" t="s">
        <v>9</v>
      </c>
      <c r="L13" s="5" t="s">
        <v>10</v>
      </c>
      <c r="M13" s="5" t="s">
        <v>11</v>
      </c>
    </row>
    <row r="14" s="31" customFormat="true" ht="28.9" hidden="false" customHeight="false" outlineLevel="0" collapsed="false">
      <c r="A14" s="2"/>
      <c r="B14" s="7" t="s">
        <v>64</v>
      </c>
      <c r="C14" s="61" t="n">
        <v>1965</v>
      </c>
      <c r="D14" s="8" t="s">
        <v>73</v>
      </c>
      <c r="E14" s="61" t="n">
        <v>2755</v>
      </c>
      <c r="F14" s="8" t="s">
        <v>73</v>
      </c>
      <c r="G14" s="9" t="str">
        <f aca="false">G8</f>
        <v>Vostochny</v>
      </c>
      <c r="H14" s="10" t="str">
        <f aca="false">H8</f>
        <v>NEWNEW MOON
045N</v>
      </c>
      <c r="I14" s="10" t="n">
        <f aca="false">I8</f>
        <v>46079</v>
      </c>
      <c r="J14" s="18" t="n">
        <f aca="false">J8</f>
        <v>8</v>
      </c>
      <c r="K14" s="9" t="str">
        <f aca="false">K8</f>
        <v>DIRECT</v>
      </c>
      <c r="L14" s="10" t="n">
        <f aca="false">L8</f>
        <v>46079</v>
      </c>
      <c r="M14" s="9" t="str">
        <f aca="false">M8</f>
        <v>Include DTHC、DDF</v>
      </c>
    </row>
    <row r="15" s="31" customFormat="true" ht="56.6" hidden="false" customHeight="false" outlineLevel="0" collapsed="false">
      <c r="A15" s="2"/>
      <c r="B15" s="7" t="s">
        <v>29</v>
      </c>
      <c r="C15" s="61" t="n">
        <v>2280</v>
      </c>
      <c r="D15" s="8" t="s">
        <v>73</v>
      </c>
      <c r="E15" s="61" t="n">
        <v>3400</v>
      </c>
      <c r="F15" s="8" t="s">
        <v>73</v>
      </c>
      <c r="G15" s="9" t="str">
        <f aca="false">G9</f>
        <v>Vladivostok Commercial Port</v>
      </c>
      <c r="H15" s="10" t="str">
        <f aca="false">H9</f>
        <v>Tue&amp;Fri</v>
      </c>
      <c r="I15" s="10"/>
      <c r="J15" s="18" t="str">
        <f aca="false">J9</f>
        <v>20~21</v>
      </c>
      <c r="K15" s="9" t="str">
        <f aca="false">K9</f>
        <v>VIA SHA</v>
      </c>
      <c r="L15" s="20" t="n">
        <f aca="false">L9</f>
        <v>46081</v>
      </c>
      <c r="M15" s="12" t="str">
        <f aca="false">M9</f>
        <v>Include DTHC $400/500
DDF $50/bill
DTHC&amp;DDF PP/CC Available</v>
      </c>
    </row>
    <row r="16" s="31" customFormat="true" ht="42.75" hidden="false" customHeight="false" outlineLevel="0" collapsed="false">
      <c r="A16" s="2"/>
      <c r="B16" s="7" t="s">
        <v>54</v>
      </c>
      <c r="C16" s="61" t="n">
        <v>2110</v>
      </c>
      <c r="D16" s="8" t="s">
        <v>73</v>
      </c>
      <c r="E16" s="61" t="n">
        <v>2960</v>
      </c>
      <c r="F16" s="8" t="s">
        <v>73</v>
      </c>
      <c r="G16" s="12" t="str">
        <f aca="false">G4</f>
        <v>VLADIVOSTOK (VMPP)
&amp; VRANGEL</v>
      </c>
      <c r="H16" s="12" t="str">
        <f aca="false">H4</f>
        <v>TIAN HUI JI YUN 035E
&amp; MAO GANG QUAN ZHOU 007E</v>
      </c>
      <c r="I16" s="10" t="str">
        <f aca="false">I4</f>
        <v>1-Mar
&amp; 9-Mar</v>
      </c>
      <c r="J16" s="18" t="n">
        <f aca="false">J10</f>
        <v>8</v>
      </c>
      <c r="K16" s="9" t="str">
        <f aca="false">K10</f>
        <v>DIRECT</v>
      </c>
      <c r="L16" s="10" t="n">
        <v>46096</v>
      </c>
      <c r="M16" s="9" t="str">
        <f aca="false">M10</f>
        <v>Include DTHC、DDF</v>
      </c>
    </row>
    <row r="17" s="31" customFormat="true" ht="16.25" hidden="false" customHeight="false" outlineLevel="0" collapsed="false">
      <c r="A17" s="2"/>
      <c r="B17" s="7" t="s">
        <v>49</v>
      </c>
      <c r="C17" s="61" t="s">
        <v>30</v>
      </c>
      <c r="D17" s="61" t="s">
        <v>30</v>
      </c>
      <c r="E17" s="61" t="s">
        <v>30</v>
      </c>
      <c r="F17" s="61" t="s">
        <v>30</v>
      </c>
      <c r="G17" s="9" t="str">
        <f aca="false">G11</f>
        <v>Vladivostok Fish Port</v>
      </c>
      <c r="H17" s="74" t="str">
        <f aca="false">H11</f>
        <v>/</v>
      </c>
      <c r="I17" s="10" t="str">
        <f aca="false">I11</f>
        <v>/</v>
      </c>
      <c r="J17" s="75" t="str">
        <f aca="false">J11</f>
        <v>11~16</v>
      </c>
      <c r="K17" s="77" t="str">
        <f aca="false">K11</f>
        <v>VIA BUSAN</v>
      </c>
      <c r="L17" s="76" t="n">
        <f aca="false">L11</f>
        <v>46053</v>
      </c>
      <c r="M17" s="12" t="str">
        <f aca="false">M11</f>
        <v>Include DTHC、DDF</v>
      </c>
      <c r="N17" s="69" t="s">
        <v>75</v>
      </c>
    </row>
    <row r="18" s="31" customFormat="true" ht="13.5" hidden="false" customHeight="false" outlineLevel="0" collapsed="false"/>
    <row r="19" s="31" customFormat="true" ht="15.05" hidden="false" customHeight="true" outlineLevel="0" collapsed="false">
      <c r="A19" s="2" t="s">
        <v>225</v>
      </c>
      <c r="B19" s="3" t="s">
        <v>1</v>
      </c>
      <c r="C19" s="4" t="s">
        <v>70</v>
      </c>
      <c r="D19" s="4"/>
      <c r="E19" s="4" t="s">
        <v>71</v>
      </c>
      <c r="F19" s="4"/>
      <c r="G19" s="4" t="s">
        <v>4</v>
      </c>
      <c r="H19" s="4" t="s">
        <v>5</v>
      </c>
      <c r="I19" s="4" t="s">
        <v>7</v>
      </c>
      <c r="J19" s="4" t="s">
        <v>8</v>
      </c>
      <c r="K19" s="4" t="s">
        <v>9</v>
      </c>
      <c r="L19" s="5" t="s">
        <v>10</v>
      </c>
      <c r="M19" s="5" t="s">
        <v>11</v>
      </c>
    </row>
    <row r="20" s="31" customFormat="true" ht="28.9" hidden="false" customHeight="false" outlineLevel="0" collapsed="false">
      <c r="A20" s="2"/>
      <c r="B20" s="7" t="s">
        <v>64</v>
      </c>
      <c r="C20" s="61" t="n">
        <v>1725</v>
      </c>
      <c r="D20" s="8" t="s">
        <v>73</v>
      </c>
      <c r="E20" s="61" t="n">
        <v>2475</v>
      </c>
      <c r="F20" s="8" t="s">
        <v>73</v>
      </c>
      <c r="G20" s="9" t="str">
        <f aca="false">G14</f>
        <v>Vostochny</v>
      </c>
      <c r="H20" s="10" t="str">
        <f aca="false">H14</f>
        <v>NEWNEW MOON
045N</v>
      </c>
      <c r="I20" s="10" t="n">
        <f aca="false">I14</f>
        <v>46079</v>
      </c>
      <c r="J20" s="18" t="n">
        <f aca="false">J14</f>
        <v>8</v>
      </c>
      <c r="K20" s="9" t="str">
        <f aca="false">K14</f>
        <v>DIRECT</v>
      </c>
      <c r="L20" s="10" t="n">
        <f aca="false">L14</f>
        <v>46079</v>
      </c>
      <c r="M20" s="9" t="str">
        <f aca="false">M14</f>
        <v>Include DTHC、DDF</v>
      </c>
    </row>
    <row r="21" s="31" customFormat="true" ht="56.6" hidden="false" customHeight="false" outlineLevel="0" collapsed="false">
      <c r="A21" s="2"/>
      <c r="B21" s="7" t="s">
        <v>29</v>
      </c>
      <c r="C21" s="61" t="n">
        <v>2050</v>
      </c>
      <c r="D21" s="8" t="s">
        <v>73</v>
      </c>
      <c r="E21" s="61" t="n">
        <v>3150</v>
      </c>
      <c r="F21" s="8" t="s">
        <v>73</v>
      </c>
      <c r="G21" s="9" t="str">
        <f aca="false">G15</f>
        <v>Vladivostok Commercial Port</v>
      </c>
      <c r="H21" s="10" t="str">
        <f aca="false">H15</f>
        <v>Tue&amp;Fri</v>
      </c>
      <c r="I21" s="10"/>
      <c r="J21" s="18" t="str">
        <f aca="false">J15</f>
        <v>20~21</v>
      </c>
      <c r="K21" s="9" t="str">
        <f aca="false">K15</f>
        <v>VIA SHA</v>
      </c>
      <c r="L21" s="20" t="n">
        <f aca="false">L15</f>
        <v>46081</v>
      </c>
      <c r="M21" s="12" t="str">
        <f aca="false">M15</f>
        <v>Include DTHC $400/500
DDF $50/bill
DTHC&amp;DDF PP/CC Available</v>
      </c>
    </row>
    <row r="22" s="31" customFormat="true" ht="42.75" hidden="false" customHeight="false" outlineLevel="0" collapsed="false">
      <c r="A22" s="2"/>
      <c r="B22" s="7" t="s">
        <v>54</v>
      </c>
      <c r="C22" s="61" t="n">
        <v>1870</v>
      </c>
      <c r="D22" s="8" t="s">
        <v>73</v>
      </c>
      <c r="E22" s="61" t="n">
        <v>2680</v>
      </c>
      <c r="F22" s="8" t="s">
        <v>73</v>
      </c>
      <c r="G22" s="12" t="str">
        <f aca="false">G16</f>
        <v>VLADIVOSTOK (VMPP)
&amp; VRANGEL</v>
      </c>
      <c r="H22" s="10" t="str">
        <f aca="false">H16</f>
        <v>TIAN HUI JI YUN 035E
&amp; MAO GANG QUAN ZHOU 007E</v>
      </c>
      <c r="I22" s="10" t="str">
        <f aca="false">I16</f>
        <v>1-Mar
&amp; 9-Mar</v>
      </c>
      <c r="J22" s="18" t="n">
        <f aca="false">J16</f>
        <v>8</v>
      </c>
      <c r="K22" s="9" t="str">
        <f aca="false">K16</f>
        <v>DIRECT</v>
      </c>
      <c r="L22" s="10" t="n">
        <v>46096</v>
      </c>
      <c r="M22" s="9" t="str">
        <f aca="false">M16</f>
        <v>Include DTHC、DDF</v>
      </c>
    </row>
    <row r="23" s="31" customFormat="true" ht="16.25" hidden="false" customHeight="false" outlineLevel="0" collapsed="false">
      <c r="A23" s="2"/>
      <c r="B23" s="7" t="s">
        <v>49</v>
      </c>
      <c r="C23" s="61" t="s">
        <v>30</v>
      </c>
      <c r="D23" s="61" t="s">
        <v>30</v>
      </c>
      <c r="E23" s="61" t="s">
        <v>30</v>
      </c>
      <c r="F23" s="61" t="s">
        <v>30</v>
      </c>
      <c r="G23" s="9" t="str">
        <f aca="false">G17</f>
        <v>Vladivostok Fish Port</v>
      </c>
      <c r="H23" s="10" t="str">
        <f aca="false">H17</f>
        <v>/</v>
      </c>
      <c r="I23" s="10" t="str">
        <f aca="false">I17</f>
        <v>/</v>
      </c>
      <c r="J23" s="75" t="str">
        <f aca="false">J17</f>
        <v>11~16</v>
      </c>
      <c r="K23" s="77" t="str">
        <f aca="false">K17</f>
        <v>VIA BUSAN</v>
      </c>
      <c r="L23" s="76" t="n">
        <f aca="false">L17</f>
        <v>46053</v>
      </c>
      <c r="M23" s="12" t="str">
        <f aca="false">M17</f>
        <v>Include DTHC、DDF</v>
      </c>
      <c r="N23" s="69" t="s">
        <v>75</v>
      </c>
    </row>
    <row r="24" s="31" customFormat="true" ht="13.5" hidden="false" customHeight="false" outlineLevel="0" collapsed="false">
      <c r="H24" s="10"/>
      <c r="I24" s="10"/>
    </row>
    <row r="25" s="31" customFormat="true" ht="15.05" hidden="false" customHeight="true" outlineLevel="0" collapsed="false">
      <c r="A25" s="2" t="s">
        <v>226</v>
      </c>
      <c r="B25" s="3" t="s">
        <v>1</v>
      </c>
      <c r="C25" s="4" t="s">
        <v>70</v>
      </c>
      <c r="D25" s="4"/>
      <c r="E25" s="4" t="s">
        <v>71</v>
      </c>
      <c r="F25" s="4"/>
      <c r="G25" s="4" t="s">
        <v>4</v>
      </c>
      <c r="H25" s="4" t="s">
        <v>5</v>
      </c>
      <c r="I25" s="4" t="s">
        <v>7</v>
      </c>
      <c r="J25" s="4" t="s">
        <v>8</v>
      </c>
      <c r="K25" s="4" t="s">
        <v>9</v>
      </c>
      <c r="L25" s="5" t="s">
        <v>10</v>
      </c>
      <c r="M25" s="5" t="s">
        <v>11</v>
      </c>
    </row>
    <row r="26" s="31" customFormat="true" ht="28.9" hidden="false" customHeight="false" outlineLevel="0" collapsed="false">
      <c r="A26" s="2"/>
      <c r="B26" s="7" t="s">
        <v>64</v>
      </c>
      <c r="C26" s="61" t="n">
        <v>1825</v>
      </c>
      <c r="D26" s="8" t="s">
        <v>73</v>
      </c>
      <c r="E26" s="61" t="n">
        <v>2505</v>
      </c>
      <c r="F26" s="8" t="s">
        <v>73</v>
      </c>
      <c r="G26" s="9" t="str">
        <f aca="false">G20</f>
        <v>Vostochny</v>
      </c>
      <c r="H26" s="10" t="str">
        <f aca="false">H20</f>
        <v>NEWNEW MOON
045N</v>
      </c>
      <c r="I26" s="10" t="n">
        <f aca="false">I20</f>
        <v>46079</v>
      </c>
      <c r="J26" s="18" t="n">
        <f aca="false">J20</f>
        <v>8</v>
      </c>
      <c r="K26" s="9" t="str">
        <f aca="false">K20</f>
        <v>DIRECT</v>
      </c>
      <c r="L26" s="10" t="n">
        <f aca="false">L20</f>
        <v>46079</v>
      </c>
      <c r="M26" s="9" t="str">
        <f aca="false">M20</f>
        <v>Include DTHC、DDF</v>
      </c>
    </row>
    <row r="27" s="31" customFormat="true" ht="56.6" hidden="false" customHeight="false" outlineLevel="0" collapsed="false">
      <c r="A27" s="2"/>
      <c r="B27" s="7" t="s">
        <v>29</v>
      </c>
      <c r="C27" s="61" t="n">
        <v>2150</v>
      </c>
      <c r="D27" s="8" t="s">
        <v>73</v>
      </c>
      <c r="E27" s="61" t="n">
        <v>3150</v>
      </c>
      <c r="F27" s="8" t="s">
        <v>73</v>
      </c>
      <c r="G27" s="9" t="str">
        <f aca="false">G21</f>
        <v>Vladivostok Commercial Port</v>
      </c>
      <c r="H27" s="10" t="str">
        <f aca="false">H21</f>
        <v>Tue&amp;Fri</v>
      </c>
      <c r="I27" s="10"/>
      <c r="J27" s="18" t="str">
        <f aca="false">J21</f>
        <v>20~21</v>
      </c>
      <c r="K27" s="9" t="str">
        <f aca="false">K21</f>
        <v>VIA SHA</v>
      </c>
      <c r="L27" s="20" t="n">
        <f aca="false">L21</f>
        <v>46081</v>
      </c>
      <c r="M27" s="12" t="str">
        <f aca="false">M21</f>
        <v>Include DTHC $400/500
DDF $50/bill
DTHC&amp;DDF PP/CC Available</v>
      </c>
    </row>
    <row r="28" s="31" customFormat="true" ht="42.75" hidden="false" customHeight="false" outlineLevel="0" collapsed="false">
      <c r="A28" s="2"/>
      <c r="B28" s="7" t="s">
        <v>54</v>
      </c>
      <c r="C28" s="61" t="n">
        <v>1970</v>
      </c>
      <c r="D28" s="8" t="s">
        <v>73</v>
      </c>
      <c r="E28" s="61" t="n">
        <v>2710</v>
      </c>
      <c r="F28" s="8" t="s">
        <v>73</v>
      </c>
      <c r="G28" s="12" t="str">
        <f aca="false">G22</f>
        <v>VLADIVOSTOK (VMPP)
&amp; VRANGEL</v>
      </c>
      <c r="H28" s="10" t="str">
        <f aca="false">H22</f>
        <v>TIAN HUI JI YUN 035E
&amp; MAO GANG QUAN ZHOU 007E</v>
      </c>
      <c r="I28" s="10" t="str">
        <f aca="false">I22</f>
        <v>1-Mar
&amp; 9-Mar</v>
      </c>
      <c r="J28" s="18" t="n">
        <f aca="false">J22</f>
        <v>8</v>
      </c>
      <c r="K28" s="9" t="str">
        <f aca="false">K22</f>
        <v>DIRECT</v>
      </c>
      <c r="L28" s="10" t="n">
        <v>46096</v>
      </c>
      <c r="M28" s="9" t="str">
        <f aca="false">M22</f>
        <v>Include DTHC、DDF</v>
      </c>
    </row>
    <row r="29" s="31" customFormat="true" ht="16.25" hidden="false" customHeight="false" outlineLevel="0" collapsed="false">
      <c r="A29" s="2"/>
      <c r="B29" s="7" t="s">
        <v>49</v>
      </c>
      <c r="C29" s="61" t="s">
        <v>30</v>
      </c>
      <c r="D29" s="61" t="s">
        <v>30</v>
      </c>
      <c r="E29" s="61" t="s">
        <v>30</v>
      </c>
      <c r="F29" s="61" t="s">
        <v>30</v>
      </c>
      <c r="G29" s="9" t="str">
        <f aca="false">G23</f>
        <v>Vladivostok Fish Port</v>
      </c>
      <c r="H29" s="10" t="str">
        <f aca="false">H23</f>
        <v>/</v>
      </c>
      <c r="I29" s="10" t="str">
        <f aca="false">I23</f>
        <v>/</v>
      </c>
      <c r="J29" s="75" t="str">
        <f aca="false">J23</f>
        <v>11~16</v>
      </c>
      <c r="K29" s="77" t="str">
        <f aca="false">K23</f>
        <v>VIA BUSAN</v>
      </c>
      <c r="L29" s="76" t="n">
        <f aca="false">L23</f>
        <v>46053</v>
      </c>
      <c r="M29" s="12" t="str">
        <f aca="false">M23</f>
        <v>Include DTHC、DDF</v>
      </c>
      <c r="N29" s="53" t="s">
        <v>75</v>
      </c>
    </row>
    <row r="30" s="31" customFormat="true" ht="13.5" hidden="false" customHeight="false" outlineLevel="0" collapsed="false">
      <c r="H30" s="10"/>
      <c r="I30" s="10"/>
    </row>
    <row r="31" s="31" customFormat="true" ht="15.05" hidden="false" customHeight="true" outlineLevel="0" collapsed="false">
      <c r="A31" s="2" t="s">
        <v>227</v>
      </c>
      <c r="B31" s="3" t="s">
        <v>1</v>
      </c>
      <c r="C31" s="4" t="s">
        <v>70</v>
      </c>
      <c r="D31" s="4"/>
      <c r="E31" s="4" t="s">
        <v>71</v>
      </c>
      <c r="F31" s="4"/>
      <c r="G31" s="4" t="s">
        <v>4</v>
      </c>
      <c r="H31" s="4" t="s">
        <v>5</v>
      </c>
      <c r="I31" s="4" t="s">
        <v>7</v>
      </c>
      <c r="J31" s="4" t="s">
        <v>8</v>
      </c>
      <c r="K31" s="4" t="s">
        <v>9</v>
      </c>
      <c r="L31" s="5" t="s">
        <v>10</v>
      </c>
      <c r="M31" s="5" t="s">
        <v>11</v>
      </c>
    </row>
    <row r="32" s="31" customFormat="true" ht="28.9" hidden="false" customHeight="false" outlineLevel="0" collapsed="false">
      <c r="A32" s="2"/>
      <c r="B32" s="7" t="s">
        <v>64</v>
      </c>
      <c r="C32" s="61" t="n">
        <v>1520</v>
      </c>
      <c r="D32" s="8" t="s">
        <v>73</v>
      </c>
      <c r="E32" s="61" t="n">
        <v>2075</v>
      </c>
      <c r="F32" s="8" t="s">
        <v>73</v>
      </c>
      <c r="G32" s="9" t="str">
        <f aca="false">G26</f>
        <v>Vostochny</v>
      </c>
      <c r="H32" s="10" t="str">
        <f aca="false">H26</f>
        <v>NEWNEW MOON
045N</v>
      </c>
      <c r="I32" s="10" t="n">
        <f aca="false">I26</f>
        <v>46079</v>
      </c>
      <c r="J32" s="18" t="n">
        <f aca="false">J26</f>
        <v>8</v>
      </c>
      <c r="K32" s="9" t="str">
        <f aca="false">K26</f>
        <v>DIRECT</v>
      </c>
      <c r="L32" s="10" t="n">
        <f aca="false">L26</f>
        <v>46079</v>
      </c>
      <c r="M32" s="9" t="str">
        <f aca="false">M26</f>
        <v>Include DTHC、DDF</v>
      </c>
    </row>
    <row r="33" s="31" customFormat="true" ht="56.6" hidden="false" customHeight="false" outlineLevel="0" collapsed="false">
      <c r="A33" s="2"/>
      <c r="B33" s="7" t="s">
        <v>29</v>
      </c>
      <c r="C33" s="61" t="n">
        <v>1825</v>
      </c>
      <c r="D33" s="8" t="s">
        <v>73</v>
      </c>
      <c r="E33" s="61" t="n">
        <v>2820</v>
      </c>
      <c r="F33" s="8" t="s">
        <v>73</v>
      </c>
      <c r="G33" s="9" t="str">
        <f aca="false">G27</f>
        <v>Vladivostok Commercial Port</v>
      </c>
      <c r="H33" s="10" t="str">
        <f aca="false">H27</f>
        <v>Tue&amp;Fri</v>
      </c>
      <c r="I33" s="10"/>
      <c r="J33" s="18" t="str">
        <f aca="false">J27</f>
        <v>20~21</v>
      </c>
      <c r="K33" s="9" t="str">
        <f aca="false">K27</f>
        <v>VIA SHA</v>
      </c>
      <c r="L33" s="20" t="n">
        <f aca="false">L27</f>
        <v>46081</v>
      </c>
      <c r="M33" s="12" t="str">
        <f aca="false">M27</f>
        <v>Include DTHC $400/500
DDF $50/bill
DTHC&amp;DDF PP/CC Available</v>
      </c>
    </row>
    <row r="34" s="31" customFormat="true" ht="42.75" hidden="false" customHeight="false" outlineLevel="0" collapsed="false">
      <c r="A34" s="2"/>
      <c r="B34" s="7" t="s">
        <v>54</v>
      </c>
      <c r="C34" s="61" t="n">
        <v>1665</v>
      </c>
      <c r="D34" s="8" t="s">
        <v>73</v>
      </c>
      <c r="E34" s="61" t="n">
        <v>2280</v>
      </c>
      <c r="F34" s="8" t="s">
        <v>73</v>
      </c>
      <c r="G34" s="12" t="str">
        <f aca="false">G28</f>
        <v>VLADIVOSTOK (VMPP)
&amp; VRANGEL</v>
      </c>
      <c r="H34" s="10" t="str">
        <f aca="false">H28</f>
        <v>TIAN HUI JI YUN 035E
&amp; MAO GANG QUAN ZHOU 007E</v>
      </c>
      <c r="I34" s="10" t="str">
        <f aca="false">I28</f>
        <v>1-Mar
&amp; 9-Mar</v>
      </c>
      <c r="J34" s="18" t="n">
        <f aca="false">J28</f>
        <v>8</v>
      </c>
      <c r="K34" s="9" t="str">
        <f aca="false">K28</f>
        <v>DIRECT</v>
      </c>
      <c r="L34" s="10" t="n">
        <v>46096</v>
      </c>
      <c r="M34" s="9" t="str">
        <f aca="false">M28</f>
        <v>Include DTHC、DDF</v>
      </c>
    </row>
    <row r="35" s="31" customFormat="true" ht="16.25" hidden="false" customHeight="false" outlineLevel="0" collapsed="false">
      <c r="A35" s="2"/>
      <c r="B35" s="7" t="s">
        <v>49</v>
      </c>
      <c r="C35" s="61" t="s">
        <v>30</v>
      </c>
      <c r="D35" s="61" t="s">
        <v>30</v>
      </c>
      <c r="E35" s="61" t="s">
        <v>30</v>
      </c>
      <c r="F35" s="61" t="s">
        <v>30</v>
      </c>
      <c r="G35" s="9" t="str">
        <f aca="false">G29</f>
        <v>Vladivostok Fish Port</v>
      </c>
      <c r="H35" s="10" t="str">
        <f aca="false">H29</f>
        <v>/</v>
      </c>
      <c r="I35" s="10" t="str">
        <f aca="false">I29</f>
        <v>/</v>
      </c>
      <c r="J35" s="75" t="str">
        <f aca="false">J29</f>
        <v>11~16</v>
      </c>
      <c r="K35" s="77" t="str">
        <f aca="false">K29</f>
        <v>VIA BUSAN</v>
      </c>
      <c r="L35" s="76" t="n">
        <f aca="false">L29</f>
        <v>46053</v>
      </c>
      <c r="M35" s="12" t="str">
        <f aca="false">M29</f>
        <v>Include DTHC、DDF</v>
      </c>
      <c r="N35" s="53" t="s">
        <v>75</v>
      </c>
    </row>
    <row r="36" s="31" customFormat="true" ht="13.5" hidden="false" customHeight="false" outlineLevel="0" collapsed="false">
      <c r="H36" s="10"/>
      <c r="I36" s="10"/>
    </row>
    <row r="37" s="31" customFormat="true" ht="15.05" hidden="false" customHeight="true" outlineLevel="0" collapsed="false">
      <c r="A37" s="2" t="s">
        <v>228</v>
      </c>
      <c r="B37" s="3" t="s">
        <v>1</v>
      </c>
      <c r="C37" s="4" t="s">
        <v>70</v>
      </c>
      <c r="D37" s="4"/>
      <c r="E37" s="4" t="s">
        <v>71</v>
      </c>
      <c r="F37" s="4"/>
      <c r="G37" s="4" t="s">
        <v>4</v>
      </c>
      <c r="H37" s="4" t="s">
        <v>5</v>
      </c>
      <c r="I37" s="4" t="s">
        <v>7</v>
      </c>
      <c r="J37" s="4" t="s">
        <v>8</v>
      </c>
      <c r="K37" s="4" t="s">
        <v>9</v>
      </c>
      <c r="L37" s="5" t="s">
        <v>10</v>
      </c>
      <c r="M37" s="5" t="s">
        <v>11</v>
      </c>
    </row>
    <row r="38" s="31" customFormat="true" ht="28.9" hidden="false" customHeight="false" outlineLevel="0" collapsed="false">
      <c r="A38" s="2"/>
      <c r="B38" s="7" t="s">
        <v>64</v>
      </c>
      <c r="C38" s="61" t="n">
        <v>1825</v>
      </c>
      <c r="D38" s="8" t="s">
        <v>73</v>
      </c>
      <c r="E38" s="61" t="n">
        <v>2485</v>
      </c>
      <c r="F38" s="8" t="s">
        <v>73</v>
      </c>
      <c r="G38" s="9" t="str">
        <f aca="false">G32</f>
        <v>Vostochny</v>
      </c>
      <c r="H38" s="10" t="str">
        <f aca="false">H32</f>
        <v>NEWNEW MOON
045N</v>
      </c>
      <c r="I38" s="10" t="n">
        <f aca="false">I32</f>
        <v>46079</v>
      </c>
      <c r="J38" s="18" t="n">
        <f aca="false">J32</f>
        <v>8</v>
      </c>
      <c r="K38" s="9" t="str">
        <f aca="false">K32</f>
        <v>DIRECT</v>
      </c>
      <c r="L38" s="10" t="n">
        <f aca="false">L32</f>
        <v>46079</v>
      </c>
      <c r="M38" s="9" t="str">
        <f aca="false">M32</f>
        <v>Include DTHC、DDF</v>
      </c>
      <c r="N38" s="22"/>
    </row>
    <row r="39" s="31" customFormat="true" ht="56.6" hidden="false" customHeight="false" outlineLevel="0" collapsed="false">
      <c r="A39" s="2"/>
      <c r="B39" s="7" t="s">
        <v>29</v>
      </c>
      <c r="C39" s="61" t="n">
        <v>2130</v>
      </c>
      <c r="D39" s="8" t="s">
        <v>73</v>
      </c>
      <c r="E39" s="61" t="n">
        <v>3150</v>
      </c>
      <c r="F39" s="8" t="s">
        <v>73</v>
      </c>
      <c r="G39" s="9" t="str">
        <f aca="false">G33</f>
        <v>Vladivostok Commercial Port</v>
      </c>
      <c r="H39" s="10" t="str">
        <f aca="false">H33</f>
        <v>Tue&amp;Fri</v>
      </c>
      <c r="I39" s="10"/>
      <c r="J39" s="18" t="str">
        <f aca="false">J33</f>
        <v>20~21</v>
      </c>
      <c r="K39" s="9" t="str">
        <f aca="false">K33</f>
        <v>VIA SHA</v>
      </c>
      <c r="L39" s="20" t="n">
        <f aca="false">L33</f>
        <v>46081</v>
      </c>
      <c r="M39" s="12" t="str">
        <f aca="false">M33</f>
        <v>Include DTHC $400/500
DDF $50/bill
DTHC&amp;DDF PP/CC Available</v>
      </c>
    </row>
    <row r="40" s="31" customFormat="true" ht="42.75" hidden="false" customHeight="false" outlineLevel="0" collapsed="false">
      <c r="A40" s="2"/>
      <c r="B40" s="7" t="s">
        <v>54</v>
      </c>
      <c r="C40" s="61" t="n">
        <v>1970</v>
      </c>
      <c r="D40" s="8" t="s">
        <v>73</v>
      </c>
      <c r="E40" s="61" t="n">
        <v>2710</v>
      </c>
      <c r="F40" s="8" t="s">
        <v>73</v>
      </c>
      <c r="G40" s="12" t="str">
        <f aca="false">G34</f>
        <v>VLADIVOSTOK (VMPP)
&amp; VRANGEL</v>
      </c>
      <c r="H40" s="10" t="str">
        <f aca="false">H34</f>
        <v>TIAN HUI JI YUN 035E
&amp; MAO GANG QUAN ZHOU 007E</v>
      </c>
      <c r="I40" s="10" t="str">
        <f aca="false">I34</f>
        <v>1-Mar
&amp; 9-Mar</v>
      </c>
      <c r="J40" s="18" t="n">
        <f aca="false">J34</f>
        <v>8</v>
      </c>
      <c r="K40" s="9" t="str">
        <f aca="false">K34</f>
        <v>DIRECT</v>
      </c>
      <c r="L40" s="10" t="n">
        <v>46096</v>
      </c>
      <c r="M40" s="9" t="str">
        <f aca="false">M34</f>
        <v>Include DTHC、DDF</v>
      </c>
    </row>
    <row r="41" s="31" customFormat="true" ht="16.25" hidden="false" customHeight="false" outlineLevel="0" collapsed="false">
      <c r="A41" s="2"/>
      <c r="B41" s="7" t="s">
        <v>49</v>
      </c>
      <c r="C41" s="61" t="s">
        <v>30</v>
      </c>
      <c r="D41" s="61" t="s">
        <v>30</v>
      </c>
      <c r="E41" s="61" t="s">
        <v>30</v>
      </c>
      <c r="F41" s="61" t="s">
        <v>30</v>
      </c>
      <c r="G41" s="9" t="str">
        <f aca="false">G35</f>
        <v>Vladivostok Fish Port</v>
      </c>
      <c r="H41" s="74" t="str">
        <f aca="false">H35</f>
        <v>/</v>
      </c>
      <c r="I41" s="10" t="str">
        <f aca="false">I35</f>
        <v>/</v>
      </c>
      <c r="J41" s="75" t="str">
        <f aca="false">J35</f>
        <v>11~16</v>
      </c>
      <c r="K41" s="77" t="str">
        <f aca="false">K35</f>
        <v>VIA BUSAN</v>
      </c>
      <c r="L41" s="76" t="n">
        <f aca="false">L35</f>
        <v>46053</v>
      </c>
      <c r="M41" s="12" t="str">
        <f aca="false">M35</f>
        <v>Include DTHC、DDF</v>
      </c>
    </row>
    <row r="42" s="31" customFormat="true" ht="13.5" hidden="false" customHeight="false" outlineLevel="0" collapsed="false"/>
    <row r="43" s="31" customFormat="true" ht="15" hidden="false" customHeight="false" outlineLevel="0" collapsed="false">
      <c r="A43" s="36" t="s">
        <v>84</v>
      </c>
    </row>
    <row r="44" s="31" customFormat="true" ht="15" hidden="false" customHeight="false" outlineLevel="0" collapsed="false">
      <c r="A44" s="37" t="s">
        <v>85</v>
      </c>
    </row>
    <row r="45" s="31" customFormat="true" ht="15" hidden="false" customHeight="false" outlineLevel="0" collapsed="false">
      <c r="A45" s="37" t="s">
        <v>86</v>
      </c>
    </row>
    <row r="46" s="31" customFormat="true" ht="13.5" hidden="false" customHeight="false" outlineLevel="0" collapsed="false"/>
    <row r="47" s="31" customFormat="true" ht="22.05" hidden="false" customHeight="false" outlineLevel="0" collapsed="false">
      <c r="L47" s="38" t="s">
        <v>87</v>
      </c>
    </row>
  </sheetData>
  <autoFilter ref="A1:N41"/>
  <mergeCells count="36">
    <mergeCell ref="A1:A5"/>
    <mergeCell ref="C1:D1"/>
    <mergeCell ref="E1:F1"/>
    <mergeCell ref="C2:D2"/>
    <mergeCell ref="E2:F2"/>
    <mergeCell ref="C3:D3"/>
    <mergeCell ref="E3:F3"/>
    <mergeCell ref="H3:I3"/>
    <mergeCell ref="C4:D4"/>
    <mergeCell ref="E4:F4"/>
    <mergeCell ref="C5:D5"/>
    <mergeCell ref="E5:F5"/>
    <mergeCell ref="A7:A11"/>
    <mergeCell ref="C7:D7"/>
    <mergeCell ref="E7:F7"/>
    <mergeCell ref="H9:I9"/>
    <mergeCell ref="A13:A17"/>
    <mergeCell ref="C13:D13"/>
    <mergeCell ref="E13:F13"/>
    <mergeCell ref="H15:I15"/>
    <mergeCell ref="A19:A23"/>
    <mergeCell ref="C19:D19"/>
    <mergeCell ref="E19:F19"/>
    <mergeCell ref="H21:I21"/>
    <mergeCell ref="A25:A29"/>
    <mergeCell ref="C25:D25"/>
    <mergeCell ref="E25:F25"/>
    <mergeCell ref="H27:I27"/>
    <mergeCell ref="A31:A35"/>
    <mergeCell ref="C31:D31"/>
    <mergeCell ref="E31:F31"/>
    <mergeCell ref="H33:I33"/>
    <mergeCell ref="A37:A41"/>
    <mergeCell ref="C37:D37"/>
    <mergeCell ref="E37:F37"/>
    <mergeCell ref="H39:I39"/>
  </mergeCells>
  <hyperlinks>
    <hyperlink ref="N2" location="NANSHA!R11C1" display="Drop off Moscow"/>
    <hyperlink ref="N3" location="NANSHA!R17C1" display="Drop off Novosibirsk"/>
    <hyperlink ref="N4" location="NANSHA!R23C1" display="Drop off Ekaterinburg"/>
    <hyperlink ref="N5" location="NANSHA!R29C1" display="Drop off Krasnoyarsk"/>
    <hyperlink ref="N6" location="NANSHA!R35C1" display="Drop off St.Petersburg"/>
    <hyperlink ref="N11" location="NANSHA!R1C1" display="BACK"/>
    <hyperlink ref="N17" location="NANSHA!R1C1" display="BACK"/>
    <hyperlink ref="N23" location="NANSHA!R1C1" display="BACK"/>
    <hyperlink ref="N29" location="NANSHA!R1C1" display="BACK"/>
    <hyperlink ref="N35" location="NANSHA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7.49"/>
    <col collapsed="false" customWidth="true" hidden="false" outlineLevel="0" max="2" min="2" style="0" width="11.51"/>
    <col collapsed="false" customWidth="true" hidden="false" outlineLevel="0" max="3" min="3" style="0" width="7.13"/>
    <col collapsed="false" customWidth="true" hidden="false" outlineLevel="0" max="4" min="4" style="0" width="5.12"/>
    <col collapsed="false" customWidth="true" hidden="false" outlineLevel="0" max="5" min="5" style="0" width="7.13"/>
    <col collapsed="false" customWidth="true" hidden="false" outlineLevel="0" max="6" min="6" style="0" width="5.12"/>
    <col collapsed="false" customWidth="true" hidden="false" outlineLevel="0" max="7" min="7" style="0" width="27.37"/>
    <col collapsed="false" customWidth="true" hidden="false" outlineLevel="0" max="8" min="8" style="0" width="23.27"/>
    <col collapsed="false" customWidth="true" hidden="false" outlineLevel="0" max="9" min="9" style="0" width="18.8"/>
    <col collapsed="false" customWidth="true" hidden="false" outlineLevel="0" max="10" min="10" style="0" width="8.76"/>
    <col collapsed="false" customWidth="true" hidden="false" outlineLevel="0" max="11" min="11" style="0" width="12.39"/>
    <col collapsed="false" customWidth="true" hidden="false" outlineLevel="0" max="12" min="12" style="0" width="7.49"/>
    <col collapsed="false" customWidth="true" hidden="false" outlineLevel="0" max="13" min="13" style="0" width="22.29"/>
    <col collapsed="false" customWidth="true" hidden="false" outlineLevel="0" max="14" min="14" style="0" width="19.63"/>
  </cols>
  <sheetData>
    <row r="1" customFormat="false" ht="17.45" hidden="false" customHeight="true" outlineLevel="0" collapsed="false">
      <c r="A1" s="2" t="s">
        <v>229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136</v>
      </c>
      <c r="N1" s="40" t="s">
        <v>12</v>
      </c>
    </row>
    <row r="2" customFormat="false" ht="30" hidden="false" customHeight="true" outlineLevel="0" collapsed="false">
      <c r="A2" s="2"/>
      <c r="B2" s="7" t="s">
        <v>49</v>
      </c>
      <c r="C2" s="8" t="s">
        <v>30</v>
      </c>
      <c r="D2" s="8"/>
      <c r="E2" s="8" t="s">
        <v>30</v>
      </c>
      <c r="F2" s="8"/>
      <c r="G2" s="9" t="s">
        <v>50</v>
      </c>
      <c r="H2" s="10" t="s">
        <v>230</v>
      </c>
      <c r="I2" s="10" t="n">
        <v>46067</v>
      </c>
      <c r="J2" s="18" t="n">
        <v>21</v>
      </c>
      <c r="K2" s="9" t="s">
        <v>140</v>
      </c>
      <c r="L2" s="10" t="n">
        <v>46068</v>
      </c>
      <c r="M2" s="12" t="s">
        <v>52</v>
      </c>
      <c r="N2" s="73" t="s">
        <v>20</v>
      </c>
    </row>
    <row r="3" customFormat="false" ht="42" hidden="false" customHeight="true" outlineLevel="0" collapsed="false">
      <c r="A3" s="2"/>
      <c r="B3" s="7" t="s">
        <v>54</v>
      </c>
      <c r="C3" s="8" t="n">
        <v>1490</v>
      </c>
      <c r="D3" s="8"/>
      <c r="E3" s="8" t="n">
        <v>1730</v>
      </c>
      <c r="F3" s="8"/>
      <c r="G3" s="12" t="s">
        <v>204</v>
      </c>
      <c r="H3" s="10" t="s">
        <v>205</v>
      </c>
      <c r="I3" s="10" t="s">
        <v>231</v>
      </c>
      <c r="J3" s="18" t="n">
        <v>9</v>
      </c>
      <c r="K3" s="9" t="s">
        <v>232</v>
      </c>
      <c r="L3" s="10" t="n">
        <v>46096</v>
      </c>
      <c r="M3" s="12" t="s">
        <v>63</v>
      </c>
      <c r="N3" s="73" t="s">
        <v>26</v>
      </c>
    </row>
    <row r="4" customFormat="false" ht="15.65" hidden="false" customHeight="false" outlineLevel="0" collapsed="false">
      <c r="N4" s="73" t="s">
        <v>28</v>
      </c>
    </row>
    <row r="5" customFormat="false" ht="12" hidden="false" customHeight="true" outlineLevel="0" collapsed="false">
      <c r="A5" s="2" t="s">
        <v>233</v>
      </c>
      <c r="B5" s="3" t="s">
        <v>1</v>
      </c>
      <c r="C5" s="4" t="s">
        <v>70</v>
      </c>
      <c r="D5" s="4"/>
      <c r="E5" s="4" t="s">
        <v>71</v>
      </c>
      <c r="F5" s="4"/>
      <c r="G5" s="4" t="s">
        <v>4</v>
      </c>
      <c r="H5" s="4" t="s">
        <v>5</v>
      </c>
      <c r="I5" s="4" t="s">
        <v>7</v>
      </c>
      <c r="J5" s="4" t="s">
        <v>8</v>
      </c>
      <c r="K5" s="4" t="s">
        <v>9</v>
      </c>
      <c r="L5" s="5" t="s">
        <v>10</v>
      </c>
      <c r="M5" s="4" t="s">
        <v>136</v>
      </c>
      <c r="N5" s="73" t="s">
        <v>34</v>
      </c>
    </row>
    <row r="6" customFormat="false" ht="30" hidden="false" customHeight="true" outlineLevel="0" collapsed="false">
      <c r="A6" s="2"/>
      <c r="B6" s="7" t="s">
        <v>49</v>
      </c>
      <c r="C6" s="51" t="s">
        <v>30</v>
      </c>
      <c r="D6" s="51" t="s">
        <v>30</v>
      </c>
      <c r="E6" s="51" t="s">
        <v>30</v>
      </c>
      <c r="F6" s="51" t="s">
        <v>30</v>
      </c>
      <c r="G6" s="9" t="str">
        <f aca="false">G2</f>
        <v>Vladivostok Fish Port</v>
      </c>
      <c r="H6" s="10" t="str">
        <f aca="false">H2</f>
        <v>LE HAVRE UX607A</v>
      </c>
      <c r="I6" s="10" t="n">
        <f aca="false">I2</f>
        <v>46067</v>
      </c>
      <c r="J6" s="18" t="n">
        <f aca="false">J2</f>
        <v>21</v>
      </c>
      <c r="K6" s="9" t="str">
        <f aca="false">K2</f>
        <v>VIA BUSAN</v>
      </c>
      <c r="L6" s="10" t="n">
        <f aca="false">L2</f>
        <v>46068</v>
      </c>
      <c r="M6" s="12" t="str">
        <f aca="false">M2</f>
        <v>Include DTHC、DDF</v>
      </c>
      <c r="N6" s="73" t="s">
        <v>42</v>
      </c>
    </row>
    <row r="7" customFormat="false" ht="53" hidden="false" customHeight="true" outlineLevel="0" collapsed="false">
      <c r="A7" s="2"/>
      <c r="B7" s="7" t="s">
        <v>54</v>
      </c>
      <c r="C7" s="61" t="n">
        <v>1740</v>
      </c>
      <c r="D7" s="8" t="s">
        <v>73</v>
      </c>
      <c r="E7" s="61" t="n">
        <v>2280</v>
      </c>
      <c r="F7" s="8" t="s">
        <v>73</v>
      </c>
      <c r="G7" s="12" t="s">
        <v>208</v>
      </c>
      <c r="H7" s="10" t="s">
        <v>209</v>
      </c>
      <c r="I7" s="10" t="s">
        <v>234</v>
      </c>
      <c r="J7" s="18" t="n">
        <f aca="false">J3</f>
        <v>9</v>
      </c>
      <c r="K7" s="9" t="str">
        <f aca="false">K3</f>
        <v>VIA NSH</v>
      </c>
      <c r="L7" s="10" t="n">
        <v>46096</v>
      </c>
      <c r="M7" s="12" t="str">
        <f aca="false">M3</f>
        <v>Include DTHC</v>
      </c>
      <c r="N7" s="73" t="s">
        <v>48</v>
      </c>
    </row>
    <row r="8" customFormat="false" ht="15.65" hidden="false" customHeight="false" outlineLevel="0" collapsed="false">
      <c r="N8" s="73" t="s">
        <v>53</v>
      </c>
    </row>
    <row r="9" customFormat="false" ht="15" hidden="false" customHeight="true" outlineLevel="0" collapsed="false">
      <c r="A9" s="2" t="s">
        <v>235</v>
      </c>
      <c r="B9" s="3" t="s">
        <v>1</v>
      </c>
      <c r="C9" s="4" t="s">
        <v>70</v>
      </c>
      <c r="D9" s="4"/>
      <c r="E9" s="4" t="s">
        <v>71</v>
      </c>
      <c r="F9" s="4"/>
      <c r="G9" s="4" t="s">
        <v>4</v>
      </c>
      <c r="H9" s="4" t="s">
        <v>5</v>
      </c>
      <c r="I9" s="4" t="s">
        <v>7</v>
      </c>
      <c r="J9" s="4" t="s">
        <v>8</v>
      </c>
      <c r="K9" s="4" t="s">
        <v>9</v>
      </c>
      <c r="L9" s="5" t="s">
        <v>10</v>
      </c>
      <c r="M9" s="4" t="s">
        <v>136</v>
      </c>
      <c r="N9" s="78"/>
    </row>
    <row r="10" customFormat="false" ht="30" hidden="false" customHeight="true" outlineLevel="0" collapsed="false">
      <c r="A10" s="2"/>
      <c r="B10" s="7" t="s">
        <v>49</v>
      </c>
      <c r="C10" s="51" t="s">
        <v>30</v>
      </c>
      <c r="D10" s="51" t="s">
        <v>30</v>
      </c>
      <c r="E10" s="51" t="s">
        <v>30</v>
      </c>
      <c r="F10" s="51" t="s">
        <v>30</v>
      </c>
      <c r="G10" s="9" t="str">
        <f aca="false">G6</f>
        <v>Vladivostok Fish Port</v>
      </c>
      <c r="H10" s="10" t="str">
        <f aca="false">H6</f>
        <v>LE HAVRE UX607A</v>
      </c>
      <c r="I10" s="10" t="n">
        <f aca="false">I6</f>
        <v>46067</v>
      </c>
      <c r="J10" s="18" t="n">
        <f aca="false">J6</f>
        <v>21</v>
      </c>
      <c r="K10" s="9" t="str">
        <f aca="false">K6</f>
        <v>VIA BUSAN</v>
      </c>
      <c r="L10" s="10" t="n">
        <f aca="false">L6</f>
        <v>46068</v>
      </c>
      <c r="M10" s="12" t="str">
        <f aca="false">M6</f>
        <v>Include DTHC、DDF</v>
      </c>
    </row>
    <row r="11" customFormat="false" ht="42.75" hidden="false" customHeight="false" outlineLevel="0" collapsed="false">
      <c r="A11" s="2"/>
      <c r="B11" s="7" t="s">
        <v>54</v>
      </c>
      <c r="C11" s="61" t="n">
        <v>2040</v>
      </c>
      <c r="D11" s="8" t="s">
        <v>73</v>
      </c>
      <c r="E11" s="61" t="n">
        <v>2910</v>
      </c>
      <c r="F11" s="8" t="s">
        <v>73</v>
      </c>
      <c r="G11" s="12" t="str">
        <f aca="false">G3</f>
        <v>VLADIVOSTOK (VMPP)
&amp; VRANGEL</v>
      </c>
      <c r="H11" s="12" t="str">
        <f aca="false">H3</f>
        <v>TIAN HUI JI YUN 035E
&amp; MAO GANG QUAN ZHOU 007E</v>
      </c>
      <c r="I11" s="12" t="str">
        <f aca="false">I3</f>
        <v>NSH 1-Mar
&amp; 9-Mar</v>
      </c>
      <c r="J11" s="18" t="n">
        <f aca="false">J7</f>
        <v>9</v>
      </c>
      <c r="K11" s="9" t="str">
        <f aca="false">K7</f>
        <v>VIA NSH</v>
      </c>
      <c r="L11" s="10" t="n">
        <v>46096</v>
      </c>
      <c r="M11" s="12" t="str">
        <f aca="false">M7</f>
        <v>Include DTHC</v>
      </c>
      <c r="N11" s="69" t="s">
        <v>75</v>
      </c>
    </row>
    <row r="13" customFormat="false" ht="15.05" hidden="false" customHeight="true" outlineLevel="0" collapsed="false">
      <c r="A13" s="2" t="s">
        <v>236</v>
      </c>
      <c r="B13" s="3" t="s">
        <v>1</v>
      </c>
      <c r="C13" s="4" t="s">
        <v>70</v>
      </c>
      <c r="D13" s="4"/>
      <c r="E13" s="4" t="s">
        <v>71</v>
      </c>
      <c r="F13" s="4"/>
      <c r="G13" s="4" t="s">
        <v>4</v>
      </c>
      <c r="H13" s="4" t="s">
        <v>5</v>
      </c>
      <c r="I13" s="4" t="s">
        <v>7</v>
      </c>
      <c r="J13" s="4" t="s">
        <v>8</v>
      </c>
      <c r="K13" s="4" t="s">
        <v>9</v>
      </c>
      <c r="L13" s="5" t="s">
        <v>10</v>
      </c>
      <c r="M13" s="4" t="s">
        <v>136</v>
      </c>
    </row>
    <row r="14" customFormat="false" ht="30" hidden="false" customHeight="true" outlineLevel="0" collapsed="false">
      <c r="A14" s="2"/>
      <c r="B14" s="7" t="s">
        <v>49</v>
      </c>
      <c r="C14" s="51" t="s">
        <v>30</v>
      </c>
      <c r="D14" s="51" t="s">
        <v>30</v>
      </c>
      <c r="E14" s="51" t="s">
        <v>30</v>
      </c>
      <c r="F14" s="51" t="s">
        <v>30</v>
      </c>
      <c r="G14" s="9" t="str">
        <f aca="false">G10</f>
        <v>Vladivostok Fish Port</v>
      </c>
      <c r="H14" s="10" t="str">
        <f aca="false">H10</f>
        <v>LE HAVRE UX607A</v>
      </c>
      <c r="I14" s="10" t="n">
        <f aca="false">I10</f>
        <v>46067</v>
      </c>
      <c r="J14" s="18" t="n">
        <f aca="false">J10</f>
        <v>21</v>
      </c>
      <c r="K14" s="9" t="str">
        <f aca="false">K10</f>
        <v>VIA BUSAN</v>
      </c>
      <c r="L14" s="10" t="n">
        <f aca="false">L10</f>
        <v>46068</v>
      </c>
      <c r="M14" s="12" t="str">
        <f aca="false">M10</f>
        <v>Include DTHC、DDF</v>
      </c>
    </row>
    <row r="15" customFormat="false" ht="42.75" hidden="false" customHeight="false" outlineLevel="0" collapsed="false">
      <c r="A15" s="2"/>
      <c r="B15" s="7" t="s">
        <v>54</v>
      </c>
      <c r="C15" s="61" t="n">
        <v>1870</v>
      </c>
      <c r="D15" s="8" t="s">
        <v>73</v>
      </c>
      <c r="E15" s="61" t="n">
        <v>2630</v>
      </c>
      <c r="F15" s="8" t="s">
        <v>73</v>
      </c>
      <c r="G15" s="12" t="str">
        <f aca="false">G11</f>
        <v>VLADIVOSTOK (VMPP)
&amp; VRANGEL</v>
      </c>
      <c r="H15" s="10" t="str">
        <f aca="false">H11</f>
        <v>TIAN HUI JI YUN 035E
&amp; MAO GANG QUAN ZHOU 007E</v>
      </c>
      <c r="I15" s="10" t="str">
        <f aca="false">I11</f>
        <v>NSH 1-Mar
&amp; 9-Mar</v>
      </c>
      <c r="J15" s="18" t="n">
        <f aca="false">J11</f>
        <v>9</v>
      </c>
      <c r="K15" s="9" t="str">
        <f aca="false">K11</f>
        <v>VIA NSH</v>
      </c>
      <c r="L15" s="10" t="n">
        <v>46096</v>
      </c>
      <c r="M15" s="12" t="str">
        <f aca="false">M11</f>
        <v>Include DTHC</v>
      </c>
      <c r="N15" s="69" t="s">
        <v>75</v>
      </c>
    </row>
    <row r="17" customFormat="false" ht="15.05" hidden="false" customHeight="true" outlineLevel="0" collapsed="false">
      <c r="A17" s="2" t="s">
        <v>237</v>
      </c>
      <c r="B17" s="3" t="s">
        <v>1</v>
      </c>
      <c r="C17" s="4" t="s">
        <v>70</v>
      </c>
      <c r="D17" s="4"/>
      <c r="E17" s="4" t="s">
        <v>71</v>
      </c>
      <c r="F17" s="4"/>
      <c r="G17" s="4" t="s">
        <v>4</v>
      </c>
      <c r="H17" s="4" t="s">
        <v>5</v>
      </c>
      <c r="I17" s="4" t="s">
        <v>7</v>
      </c>
      <c r="J17" s="4" t="s">
        <v>8</v>
      </c>
      <c r="K17" s="4" t="s">
        <v>9</v>
      </c>
      <c r="L17" s="5" t="s">
        <v>10</v>
      </c>
      <c r="M17" s="4" t="s">
        <v>136</v>
      </c>
    </row>
    <row r="18" customFormat="false" ht="30" hidden="false" customHeight="true" outlineLevel="0" collapsed="false">
      <c r="A18" s="2"/>
      <c r="B18" s="7" t="s">
        <v>49</v>
      </c>
      <c r="C18" s="51" t="s">
        <v>30</v>
      </c>
      <c r="D18" s="51" t="s">
        <v>30</v>
      </c>
      <c r="E18" s="51" t="s">
        <v>30</v>
      </c>
      <c r="F18" s="51" t="s">
        <v>30</v>
      </c>
      <c r="G18" s="9" t="str">
        <f aca="false">G14</f>
        <v>Vladivostok Fish Port</v>
      </c>
      <c r="H18" s="10" t="str">
        <f aca="false">H14</f>
        <v>LE HAVRE UX607A</v>
      </c>
      <c r="I18" s="10" t="n">
        <f aca="false">I14</f>
        <v>46067</v>
      </c>
      <c r="J18" s="18" t="n">
        <f aca="false">J14</f>
        <v>21</v>
      </c>
      <c r="K18" s="9" t="str">
        <f aca="false">K14</f>
        <v>VIA BUSAN</v>
      </c>
      <c r="L18" s="10" t="n">
        <f aca="false">L14</f>
        <v>46068</v>
      </c>
      <c r="M18" s="12" t="str">
        <f aca="false">M14</f>
        <v>Include DTHC、DDF</v>
      </c>
    </row>
    <row r="19" customFormat="false" ht="42.75" hidden="false" customHeight="false" outlineLevel="0" collapsed="false">
      <c r="A19" s="2"/>
      <c r="B19" s="7" t="s">
        <v>54</v>
      </c>
      <c r="C19" s="61" t="n">
        <v>1965</v>
      </c>
      <c r="D19" s="8" t="s">
        <v>73</v>
      </c>
      <c r="E19" s="61" t="n">
        <v>2630</v>
      </c>
      <c r="F19" s="8" t="s">
        <v>73</v>
      </c>
      <c r="G19" s="12" t="str">
        <f aca="false">G15</f>
        <v>VLADIVOSTOK (VMPP)
&amp; VRANGEL</v>
      </c>
      <c r="H19" s="10" t="str">
        <f aca="false">H15</f>
        <v>TIAN HUI JI YUN 035E
&amp; MAO GANG QUAN ZHOU 007E</v>
      </c>
      <c r="I19" s="10" t="str">
        <f aca="false">I15</f>
        <v>NSH 1-Mar
&amp; 9-Mar</v>
      </c>
      <c r="J19" s="18" t="n">
        <f aca="false">J15</f>
        <v>9</v>
      </c>
      <c r="K19" s="9" t="str">
        <f aca="false">K15</f>
        <v>VIA NSH</v>
      </c>
      <c r="L19" s="10" t="n">
        <v>46096</v>
      </c>
      <c r="M19" s="12" t="str">
        <f aca="false">M15</f>
        <v>Include DTHC</v>
      </c>
      <c r="N19" s="69" t="s">
        <v>75</v>
      </c>
    </row>
    <row r="21" customFormat="false" ht="15.05" hidden="false" customHeight="true" outlineLevel="0" collapsed="false">
      <c r="A21" s="2" t="s">
        <v>238</v>
      </c>
      <c r="B21" s="3" t="s">
        <v>1</v>
      </c>
      <c r="C21" s="4" t="s">
        <v>70</v>
      </c>
      <c r="D21" s="4"/>
      <c r="E21" s="4" t="s">
        <v>71</v>
      </c>
      <c r="F21" s="4"/>
      <c r="G21" s="4" t="s">
        <v>4</v>
      </c>
      <c r="H21" s="4" t="s">
        <v>5</v>
      </c>
      <c r="I21" s="4" t="s">
        <v>7</v>
      </c>
      <c r="J21" s="4" t="s">
        <v>8</v>
      </c>
      <c r="K21" s="4" t="s">
        <v>9</v>
      </c>
      <c r="L21" s="5" t="s">
        <v>10</v>
      </c>
      <c r="M21" s="4" t="s">
        <v>136</v>
      </c>
    </row>
    <row r="22" customFormat="false" ht="30" hidden="false" customHeight="true" outlineLevel="0" collapsed="false">
      <c r="A22" s="2"/>
      <c r="B22" s="7" t="s">
        <v>49</v>
      </c>
      <c r="C22" s="51" t="s">
        <v>30</v>
      </c>
      <c r="D22" s="51" t="s">
        <v>30</v>
      </c>
      <c r="E22" s="51" t="s">
        <v>30</v>
      </c>
      <c r="F22" s="51" t="s">
        <v>30</v>
      </c>
      <c r="G22" s="9" t="str">
        <f aca="false">G18</f>
        <v>Vladivostok Fish Port</v>
      </c>
      <c r="H22" s="10" t="str">
        <f aca="false">H18</f>
        <v>LE HAVRE UX607A</v>
      </c>
      <c r="I22" s="10" t="n">
        <f aca="false">I18</f>
        <v>46067</v>
      </c>
      <c r="J22" s="18" t="n">
        <f aca="false">J18</f>
        <v>21</v>
      </c>
      <c r="K22" s="9" t="str">
        <f aca="false">K18</f>
        <v>VIA BUSAN</v>
      </c>
      <c r="L22" s="10" t="n">
        <f aca="false">L18</f>
        <v>46068</v>
      </c>
      <c r="M22" s="12" t="str">
        <f aca="false">M18</f>
        <v>Include DTHC、DDF</v>
      </c>
    </row>
    <row r="23" customFormat="false" ht="42.75" hidden="false" customHeight="false" outlineLevel="0" collapsed="false">
      <c r="A23" s="2"/>
      <c r="B23" s="7" t="s">
        <v>54</v>
      </c>
      <c r="C23" s="61" t="n">
        <v>1690</v>
      </c>
      <c r="D23" s="8" t="s">
        <v>73</v>
      </c>
      <c r="E23" s="61" t="n">
        <v>2180</v>
      </c>
      <c r="F23" s="8" t="s">
        <v>73</v>
      </c>
      <c r="G23" s="12" t="str">
        <f aca="false">G19</f>
        <v>VLADIVOSTOK (VMPP)
&amp; VRANGEL</v>
      </c>
      <c r="H23" s="10" t="str">
        <f aca="false">H19</f>
        <v>TIAN HUI JI YUN 035E
&amp; MAO GANG QUAN ZHOU 007E</v>
      </c>
      <c r="I23" s="10" t="str">
        <f aca="false">I19</f>
        <v>NSH 1-Mar
&amp; 9-Mar</v>
      </c>
      <c r="J23" s="18" t="n">
        <f aca="false">J19</f>
        <v>9</v>
      </c>
      <c r="K23" s="9" t="str">
        <f aca="false">K19</f>
        <v>VIA NSH</v>
      </c>
      <c r="L23" s="10" t="n">
        <v>46096</v>
      </c>
      <c r="M23" s="12" t="str">
        <f aca="false">M19</f>
        <v>Include DTHC</v>
      </c>
      <c r="N23" s="53" t="s">
        <v>75</v>
      </c>
    </row>
    <row r="25" customFormat="false" ht="15.05" hidden="false" customHeight="true" outlineLevel="0" collapsed="false">
      <c r="A25" s="2" t="s">
        <v>239</v>
      </c>
      <c r="B25" s="3" t="s">
        <v>1</v>
      </c>
      <c r="C25" s="4" t="s">
        <v>70</v>
      </c>
      <c r="D25" s="4"/>
      <c r="E25" s="4" t="s">
        <v>71</v>
      </c>
      <c r="F25" s="4"/>
      <c r="G25" s="4" t="s">
        <v>4</v>
      </c>
      <c r="H25" s="4" t="s">
        <v>5</v>
      </c>
      <c r="I25" s="4" t="s">
        <v>7</v>
      </c>
      <c r="J25" s="4" t="s">
        <v>8</v>
      </c>
      <c r="K25" s="4" t="s">
        <v>9</v>
      </c>
      <c r="L25" s="5" t="s">
        <v>10</v>
      </c>
      <c r="M25" s="4" t="s">
        <v>136</v>
      </c>
    </row>
    <row r="26" customFormat="false" ht="30" hidden="false" customHeight="true" outlineLevel="0" collapsed="false">
      <c r="A26" s="2"/>
      <c r="B26" s="7" t="s">
        <v>49</v>
      </c>
      <c r="C26" s="51" t="s">
        <v>30</v>
      </c>
      <c r="D26" s="51" t="s">
        <v>30</v>
      </c>
      <c r="E26" s="51" t="s">
        <v>30</v>
      </c>
      <c r="F26" s="51" t="s">
        <v>30</v>
      </c>
      <c r="G26" s="9" t="str">
        <f aca="false">G22</f>
        <v>Vladivostok Fish Port</v>
      </c>
      <c r="H26" s="10" t="str">
        <f aca="false">H22</f>
        <v>LE HAVRE UX607A</v>
      </c>
      <c r="I26" s="10" t="n">
        <f aca="false">I22</f>
        <v>46067</v>
      </c>
      <c r="J26" s="18" t="n">
        <f aca="false">J22</f>
        <v>21</v>
      </c>
      <c r="K26" s="9" t="str">
        <f aca="false">K22</f>
        <v>VIA BUSAN</v>
      </c>
      <c r="L26" s="10" t="n">
        <f aca="false">L22</f>
        <v>46068</v>
      </c>
      <c r="M26" s="12" t="str">
        <f aca="false">M22</f>
        <v>Include DTHC、DDF</v>
      </c>
    </row>
    <row r="27" customFormat="false" ht="42.75" hidden="false" customHeight="false" outlineLevel="0" collapsed="false">
      <c r="A27" s="2"/>
      <c r="B27" s="7" t="s">
        <v>54</v>
      </c>
      <c r="C27" s="61" t="n">
        <v>1920</v>
      </c>
      <c r="D27" s="8" t="s">
        <v>73</v>
      </c>
      <c r="E27" s="61" t="n">
        <v>2710</v>
      </c>
      <c r="F27" s="8" t="s">
        <v>73</v>
      </c>
      <c r="G27" s="12" t="str">
        <f aca="false">G23</f>
        <v>VLADIVOSTOK (VMPP)
&amp; VRANGEL</v>
      </c>
      <c r="H27" s="10" t="str">
        <f aca="false">H23</f>
        <v>TIAN HUI JI YUN 035E
&amp; MAO GANG QUAN ZHOU 007E</v>
      </c>
      <c r="I27" s="10" t="str">
        <f aca="false">I23</f>
        <v>NSH 1-Mar
&amp; 9-Mar</v>
      </c>
      <c r="J27" s="18" t="n">
        <f aca="false">J23</f>
        <v>9</v>
      </c>
      <c r="K27" s="9" t="str">
        <f aca="false">K23</f>
        <v>VIA NSH</v>
      </c>
      <c r="L27" s="10" t="n">
        <v>46096</v>
      </c>
      <c r="M27" s="12" t="str">
        <f aca="false">M23</f>
        <v>Include DTHC</v>
      </c>
      <c r="N27" s="53" t="s">
        <v>75</v>
      </c>
    </row>
    <row r="29" customFormat="false" ht="15.05" hidden="false" customHeight="true" outlineLevel="0" collapsed="false">
      <c r="A29" s="2" t="s">
        <v>240</v>
      </c>
      <c r="B29" s="3" t="s">
        <v>1</v>
      </c>
      <c r="C29" s="4" t="s">
        <v>70</v>
      </c>
      <c r="D29" s="4"/>
      <c r="E29" s="4" t="s">
        <v>71</v>
      </c>
      <c r="F29" s="4"/>
      <c r="G29" s="4" t="s">
        <v>4</v>
      </c>
      <c r="H29" s="4" t="s">
        <v>5</v>
      </c>
      <c r="I29" s="4" t="s">
        <v>7</v>
      </c>
      <c r="J29" s="4" t="s">
        <v>8</v>
      </c>
      <c r="K29" s="4" t="s">
        <v>9</v>
      </c>
      <c r="L29" s="5" t="s">
        <v>10</v>
      </c>
      <c r="M29" s="4" t="s">
        <v>136</v>
      </c>
    </row>
    <row r="30" customFormat="false" ht="30" hidden="false" customHeight="true" outlineLevel="0" collapsed="false">
      <c r="A30" s="2"/>
      <c r="B30" s="7" t="s">
        <v>49</v>
      </c>
      <c r="C30" s="51" t="s">
        <v>30</v>
      </c>
      <c r="D30" s="51" t="s">
        <v>30</v>
      </c>
      <c r="E30" s="51" t="s">
        <v>30</v>
      </c>
      <c r="F30" s="51" t="s">
        <v>30</v>
      </c>
      <c r="G30" s="9" t="str">
        <f aca="false">G26</f>
        <v>Vladivostok Fish Port</v>
      </c>
      <c r="H30" s="10" t="str">
        <f aca="false">H26</f>
        <v>LE HAVRE UX607A</v>
      </c>
      <c r="I30" s="10" t="n">
        <f aca="false">I26</f>
        <v>46067</v>
      </c>
      <c r="J30" s="18" t="n">
        <f aca="false">J26</f>
        <v>21</v>
      </c>
      <c r="K30" s="9" t="str">
        <f aca="false">K26</f>
        <v>VIA BUSAN</v>
      </c>
      <c r="L30" s="10" t="n">
        <f aca="false">L26</f>
        <v>46068</v>
      </c>
      <c r="M30" s="12" t="str">
        <f aca="false">M26</f>
        <v>Include DTHC、DDF</v>
      </c>
    </row>
    <row r="31" customFormat="false" ht="42.75" hidden="false" customHeight="false" outlineLevel="0" collapsed="false">
      <c r="A31" s="2"/>
      <c r="B31" s="7" t="s">
        <v>54</v>
      </c>
      <c r="C31" s="61" t="n">
        <v>1690</v>
      </c>
      <c r="D31" s="8" t="s">
        <v>73</v>
      </c>
      <c r="E31" s="61" t="n">
        <v>2080</v>
      </c>
      <c r="F31" s="8" t="s">
        <v>73</v>
      </c>
      <c r="G31" s="12" t="str">
        <f aca="false">G27</f>
        <v>VLADIVOSTOK (VMPP)
&amp; VRANGEL</v>
      </c>
      <c r="H31" s="10" t="str">
        <f aca="false">H27</f>
        <v>TIAN HUI JI YUN 035E
&amp; MAO GANG QUAN ZHOU 007E</v>
      </c>
      <c r="I31" s="10" t="str">
        <f aca="false">I27</f>
        <v>NSH 1-Mar
&amp; 9-Mar</v>
      </c>
      <c r="J31" s="18" t="n">
        <f aca="false">J27</f>
        <v>9</v>
      </c>
      <c r="K31" s="9" t="str">
        <f aca="false">K27</f>
        <v>VIA NSH</v>
      </c>
      <c r="L31" s="10" t="n">
        <v>46096</v>
      </c>
      <c r="M31" s="12" t="str">
        <f aca="false">M27</f>
        <v>Include DTHC</v>
      </c>
      <c r="N31" s="53" t="s">
        <v>75</v>
      </c>
    </row>
    <row r="33" customFormat="false" ht="15.05" hidden="false" customHeight="true" outlineLevel="0" collapsed="false">
      <c r="A33" s="2" t="s">
        <v>241</v>
      </c>
      <c r="B33" s="3" t="s">
        <v>1</v>
      </c>
      <c r="C33" s="4" t="s">
        <v>70</v>
      </c>
      <c r="D33" s="4"/>
      <c r="E33" s="4" t="s">
        <v>71</v>
      </c>
      <c r="F33" s="4"/>
      <c r="G33" s="4" t="s">
        <v>4</v>
      </c>
      <c r="H33" s="4" t="s">
        <v>5</v>
      </c>
      <c r="I33" s="4" t="s">
        <v>7</v>
      </c>
      <c r="J33" s="4" t="s">
        <v>8</v>
      </c>
      <c r="K33" s="4" t="s">
        <v>9</v>
      </c>
      <c r="L33" s="5" t="s">
        <v>10</v>
      </c>
      <c r="M33" s="4" t="s">
        <v>136</v>
      </c>
    </row>
    <row r="34" customFormat="false" ht="30" hidden="false" customHeight="true" outlineLevel="0" collapsed="false">
      <c r="A34" s="2"/>
      <c r="B34" s="7" t="s">
        <v>49</v>
      </c>
      <c r="C34" s="51" t="s">
        <v>30</v>
      </c>
      <c r="D34" s="51" t="s">
        <v>30</v>
      </c>
      <c r="E34" s="51" t="s">
        <v>30</v>
      </c>
      <c r="F34" s="51" t="s">
        <v>30</v>
      </c>
      <c r="G34" s="9" t="str">
        <f aca="false">G30</f>
        <v>Vladivostok Fish Port</v>
      </c>
      <c r="H34" s="10" t="str">
        <f aca="false">H30</f>
        <v>LE HAVRE UX607A</v>
      </c>
      <c r="I34" s="10" t="n">
        <f aca="false">I30</f>
        <v>46067</v>
      </c>
      <c r="J34" s="18" t="n">
        <f aca="false">J30</f>
        <v>21</v>
      </c>
      <c r="K34" s="9" t="str">
        <f aca="false">K30</f>
        <v>VIA BUSAN</v>
      </c>
      <c r="L34" s="10" t="n">
        <f aca="false">L30</f>
        <v>46068</v>
      </c>
      <c r="M34" s="12" t="str">
        <f aca="false">M30</f>
        <v>Include DTHC、DDF</v>
      </c>
    </row>
    <row r="35" customFormat="false" ht="42.75" hidden="false" customHeight="false" outlineLevel="0" collapsed="false">
      <c r="A35" s="2"/>
      <c r="B35" s="7" t="s">
        <v>54</v>
      </c>
      <c r="C35" s="61" t="n">
        <v>1840</v>
      </c>
      <c r="D35" s="8" t="s">
        <v>73</v>
      </c>
      <c r="E35" s="61" t="s">
        <v>30</v>
      </c>
      <c r="F35" s="61" t="s">
        <v>30</v>
      </c>
      <c r="G35" s="12" t="str">
        <f aca="false">G31</f>
        <v>VLADIVOSTOK (VMPP)
&amp; VRANGEL</v>
      </c>
      <c r="H35" s="10" t="str">
        <f aca="false">H31</f>
        <v>TIAN HUI JI YUN 035E
&amp; MAO GANG QUAN ZHOU 007E</v>
      </c>
      <c r="I35" s="10" t="str">
        <f aca="false">I31</f>
        <v>NSH 1-Mar
&amp; 9-Mar</v>
      </c>
      <c r="J35" s="18" t="n">
        <f aca="false">J31</f>
        <v>9</v>
      </c>
      <c r="K35" s="9" t="str">
        <f aca="false">K31</f>
        <v>VIA NSH</v>
      </c>
      <c r="L35" s="10" t="n">
        <v>46096</v>
      </c>
      <c r="M35" s="12" t="str">
        <f aca="false">M31</f>
        <v>Include DTHC</v>
      </c>
    </row>
    <row r="37" s="31" customFormat="true" ht="15" hidden="false" customHeight="false" outlineLevel="0" collapsed="false">
      <c r="A37" s="36" t="s">
        <v>84</v>
      </c>
    </row>
    <row r="38" s="31" customFormat="true" ht="15" hidden="false" customHeight="false" outlineLevel="0" collapsed="false">
      <c r="A38" s="37" t="s">
        <v>85</v>
      </c>
    </row>
    <row r="39" s="31" customFormat="true" ht="15" hidden="false" customHeight="false" outlineLevel="0" collapsed="false">
      <c r="A39" s="37" t="s">
        <v>86</v>
      </c>
    </row>
    <row r="40" s="31" customFormat="true" ht="13.5" hidden="false" customHeight="false" outlineLevel="0" collapsed="false"/>
    <row r="41" s="31" customFormat="true" ht="22.05" hidden="false" customHeight="false" outlineLevel="0" collapsed="false">
      <c r="L41" s="38" t="s">
        <v>87</v>
      </c>
    </row>
  </sheetData>
  <autoFilter ref="A1:N35"/>
  <mergeCells count="31">
    <mergeCell ref="A1:A3"/>
    <mergeCell ref="C1:D1"/>
    <mergeCell ref="E1:F1"/>
    <mergeCell ref="C2:D2"/>
    <mergeCell ref="E2:F2"/>
    <mergeCell ref="C3:D3"/>
    <mergeCell ref="E3:F3"/>
    <mergeCell ref="A5:A7"/>
    <mergeCell ref="C5:D5"/>
    <mergeCell ref="E5:F5"/>
    <mergeCell ref="A9:A11"/>
    <mergeCell ref="C9:D9"/>
    <mergeCell ref="E9:F9"/>
    <mergeCell ref="A13:A15"/>
    <mergeCell ref="C13:D13"/>
    <mergeCell ref="E13:F13"/>
    <mergeCell ref="A17:A19"/>
    <mergeCell ref="C17:D17"/>
    <mergeCell ref="E17:F17"/>
    <mergeCell ref="A21:A23"/>
    <mergeCell ref="C21:D21"/>
    <mergeCell ref="E21:F21"/>
    <mergeCell ref="A25:A27"/>
    <mergeCell ref="C25:D25"/>
    <mergeCell ref="E25:F25"/>
    <mergeCell ref="A29:A31"/>
    <mergeCell ref="C29:D29"/>
    <mergeCell ref="E29:F29"/>
    <mergeCell ref="A33:A35"/>
    <mergeCell ref="C33:D33"/>
    <mergeCell ref="E33:F33"/>
  </mergeCells>
  <hyperlinks>
    <hyperlink ref="N2" location="YANTIAN!R7C1" display="Drop off Moscow"/>
    <hyperlink ref="N3" location="YANTIAN!R11C1" display="Drop off Novosibirsk"/>
    <hyperlink ref="N4" location="YANTIAN!R15C1" display="Drop off Ekaterinburg"/>
    <hyperlink ref="N5" location="YANTIAN!R19C1" display="Drop off Krasnoyarsk"/>
    <hyperlink ref="N6" location="YANTIAN!R23C1" display="Drop off St.Petersburg"/>
    <hyperlink ref="N7" location="YANTIAN!R27C1" display="Drop off Irkutsk"/>
    <hyperlink ref="N8" location="YANTIAN!R31C1" display="Drop off Khabarovsk"/>
    <hyperlink ref="N11" location="YANTIAN!R1C1" display="BACK"/>
    <hyperlink ref="N15" location="YANTIAN!R1C1" display="BACK"/>
    <hyperlink ref="N19" location="YANTIAN!R1C1" display="BACK"/>
    <hyperlink ref="N23" location="YANTIAN!R1C1" display="BACK"/>
    <hyperlink ref="N27" location="YANTIAN!R1C1" display="BACK"/>
    <hyperlink ref="N31" location="YANTIAN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7.49"/>
    <col collapsed="false" customWidth="true" hidden="false" outlineLevel="0" max="2" min="2" style="0" width="11.51"/>
    <col collapsed="false" customWidth="true" hidden="false" outlineLevel="0" max="3" min="3" style="0" width="7.13"/>
    <col collapsed="false" customWidth="true" hidden="false" outlineLevel="0" max="4" min="4" style="0" width="5.12"/>
    <col collapsed="false" customWidth="true" hidden="false" outlineLevel="0" max="5" min="5" style="0" width="7.13"/>
    <col collapsed="false" customWidth="true" hidden="false" outlineLevel="0" max="6" min="6" style="0" width="5.12"/>
    <col collapsed="false" customWidth="true" hidden="false" outlineLevel="0" max="7" min="7" style="0" width="27.37"/>
    <col collapsed="false" customWidth="true" hidden="false" outlineLevel="0" max="8" min="8" style="0" width="18.8"/>
    <col collapsed="false" customWidth="true" hidden="false" outlineLevel="0" max="9" min="9" style="0" width="10.88"/>
    <col collapsed="false" customWidth="true" hidden="false" outlineLevel="0" max="10" min="10" style="0" width="8.76"/>
    <col collapsed="false" customWidth="true" hidden="false" outlineLevel="0" max="11" min="11" style="0" width="12.39"/>
    <col collapsed="false" customWidth="true" hidden="false" outlineLevel="0" max="13" min="13" style="0" width="22.29"/>
    <col collapsed="false" customWidth="true" hidden="false" outlineLevel="0" max="14" min="14" style="0" width="19.63"/>
  </cols>
  <sheetData>
    <row r="1" customFormat="false" ht="17.45" hidden="false" customHeight="true" outlineLevel="0" collapsed="false">
      <c r="A1" s="2" t="s">
        <v>242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136</v>
      </c>
      <c r="N1" s="40" t="s">
        <v>12</v>
      </c>
    </row>
    <row r="2" customFormat="false" ht="28.9" hidden="false" customHeight="false" outlineLevel="0" collapsed="false">
      <c r="A2" s="2"/>
      <c r="B2" s="7" t="s">
        <v>21</v>
      </c>
      <c r="C2" s="8" t="s">
        <v>177</v>
      </c>
      <c r="D2" s="8"/>
      <c r="E2" s="8" t="s">
        <v>187</v>
      </c>
      <c r="F2" s="8"/>
      <c r="G2" s="9" t="s">
        <v>14</v>
      </c>
      <c r="H2" s="10" t="s">
        <v>243</v>
      </c>
      <c r="I2" s="10" t="n">
        <v>46069</v>
      </c>
      <c r="J2" s="18" t="s">
        <v>32</v>
      </c>
      <c r="K2" s="9" t="s">
        <v>16</v>
      </c>
      <c r="L2" s="10" t="n">
        <v>46069</v>
      </c>
      <c r="M2" s="12" t="s">
        <v>25</v>
      </c>
      <c r="N2" s="41" t="s">
        <v>20</v>
      </c>
    </row>
    <row r="3" customFormat="false" ht="28.9" hidden="false" customHeight="false" outlineLevel="0" collapsed="false">
      <c r="A3" s="2"/>
      <c r="B3" s="14" t="s">
        <v>27</v>
      </c>
      <c r="C3" s="8" t="s">
        <v>177</v>
      </c>
      <c r="D3" s="8"/>
      <c r="E3" s="8" t="s">
        <v>187</v>
      </c>
      <c r="F3" s="8"/>
      <c r="G3" s="9" t="s">
        <v>14</v>
      </c>
      <c r="H3" s="10" t="s">
        <v>243</v>
      </c>
      <c r="I3" s="10" t="n">
        <v>46069</v>
      </c>
      <c r="J3" s="18" t="s">
        <v>32</v>
      </c>
      <c r="K3" s="9" t="s">
        <v>16</v>
      </c>
      <c r="L3" s="10" t="n">
        <v>46069</v>
      </c>
      <c r="M3" s="12" t="s">
        <v>25</v>
      </c>
      <c r="N3" s="41" t="s">
        <v>26</v>
      </c>
    </row>
    <row r="4" customFormat="false" ht="28.9" hidden="false" customHeight="false" outlineLevel="0" collapsed="false">
      <c r="A4" s="2"/>
      <c r="B4" s="7" t="s">
        <v>49</v>
      </c>
      <c r="C4" s="8" t="s">
        <v>30</v>
      </c>
      <c r="D4" s="8"/>
      <c r="E4" s="8" t="s">
        <v>30</v>
      </c>
      <c r="F4" s="8"/>
      <c r="G4" s="9" t="s">
        <v>50</v>
      </c>
      <c r="H4" s="74" t="s">
        <v>244</v>
      </c>
      <c r="I4" s="10" t="n">
        <v>46066</v>
      </c>
      <c r="J4" s="75" t="s">
        <v>245</v>
      </c>
      <c r="K4" s="9" t="s">
        <v>140</v>
      </c>
      <c r="L4" s="58" t="n">
        <v>46068</v>
      </c>
      <c r="M4" s="12" t="s">
        <v>52</v>
      </c>
      <c r="N4" s="73" t="s">
        <v>28</v>
      </c>
    </row>
    <row r="5" customFormat="false" ht="42.75" hidden="false" customHeight="true" outlineLevel="0" collapsed="false">
      <c r="A5" s="2"/>
      <c r="B5" s="7" t="s">
        <v>29</v>
      </c>
      <c r="C5" s="8" t="n">
        <v>1520</v>
      </c>
      <c r="D5" s="8"/>
      <c r="E5" s="8" t="n">
        <v>2120</v>
      </c>
      <c r="F5" s="8"/>
      <c r="G5" s="9" t="s">
        <v>14</v>
      </c>
      <c r="H5" s="10" t="s">
        <v>246</v>
      </c>
      <c r="I5" s="10"/>
      <c r="J5" s="18" t="n">
        <v>8</v>
      </c>
      <c r="K5" s="9" t="s">
        <v>220</v>
      </c>
      <c r="L5" s="10" t="n">
        <v>46081</v>
      </c>
      <c r="M5" s="12" t="s">
        <v>33</v>
      </c>
      <c r="N5" s="73" t="s">
        <v>34</v>
      </c>
    </row>
    <row r="6" customFormat="false" ht="15.65" hidden="false" customHeight="false" outlineLevel="0" collapsed="false">
      <c r="N6" s="73" t="s">
        <v>42</v>
      </c>
    </row>
    <row r="7" customFormat="false" ht="12" hidden="false" customHeight="true" outlineLevel="0" collapsed="false">
      <c r="A7" s="2" t="s">
        <v>247</v>
      </c>
      <c r="B7" s="3" t="s">
        <v>1</v>
      </c>
      <c r="C7" s="4" t="s">
        <v>70</v>
      </c>
      <c r="D7" s="4"/>
      <c r="E7" s="4" t="s">
        <v>71</v>
      </c>
      <c r="F7" s="4"/>
      <c r="G7" s="4" t="s">
        <v>4</v>
      </c>
      <c r="H7" s="4" t="s">
        <v>5</v>
      </c>
      <c r="I7" s="4" t="s">
        <v>7</v>
      </c>
      <c r="J7" s="4" t="s">
        <v>8</v>
      </c>
      <c r="K7" s="4" t="s">
        <v>9</v>
      </c>
      <c r="L7" s="5" t="s">
        <v>10</v>
      </c>
      <c r="M7" s="4" t="s">
        <v>136</v>
      </c>
      <c r="N7" s="73" t="s">
        <v>48</v>
      </c>
    </row>
    <row r="8" customFormat="false" ht="28" hidden="false" customHeight="true" outlineLevel="0" collapsed="false">
      <c r="A8" s="2"/>
      <c r="B8" s="7" t="s">
        <v>21</v>
      </c>
      <c r="C8" s="8" t="s">
        <v>177</v>
      </c>
      <c r="D8" s="8" t="s">
        <v>73</v>
      </c>
      <c r="E8" s="8" t="s">
        <v>187</v>
      </c>
      <c r="F8" s="8" t="s">
        <v>73</v>
      </c>
      <c r="G8" s="9" t="str">
        <f aca="false">G2</f>
        <v>Vladivostok Commercial Port</v>
      </c>
      <c r="H8" s="10" t="str">
        <f aca="false">H2</f>
        <v>QINGDAO TRADER
2601N</v>
      </c>
      <c r="I8" s="10" t="n">
        <f aca="false">I2</f>
        <v>46069</v>
      </c>
      <c r="J8" s="18" t="str">
        <f aca="false">J2</f>
        <v>6~7</v>
      </c>
      <c r="K8" s="9" t="str">
        <f aca="false">K2</f>
        <v>DIRECT</v>
      </c>
      <c r="L8" s="10" t="n">
        <f aca="false">L2</f>
        <v>46069</v>
      </c>
      <c r="M8" s="12" t="str">
        <f aca="false">M2</f>
        <v>Include DTHC $550/650
DTHC PP/CC Available</v>
      </c>
      <c r="N8" s="41" t="s">
        <v>53</v>
      </c>
    </row>
    <row r="9" customFormat="false" ht="28" hidden="false" customHeight="true" outlineLevel="0" collapsed="false">
      <c r="A9" s="2"/>
      <c r="B9" s="14" t="s">
        <v>27</v>
      </c>
      <c r="C9" s="8" t="s">
        <v>177</v>
      </c>
      <c r="D9" s="8" t="s">
        <v>73</v>
      </c>
      <c r="E9" s="8" t="s">
        <v>187</v>
      </c>
      <c r="F9" s="8" t="s">
        <v>73</v>
      </c>
      <c r="G9" s="9" t="str">
        <f aca="false">G3</f>
        <v>Vladivostok Commercial Port</v>
      </c>
      <c r="H9" s="10" t="str">
        <f aca="false">H3</f>
        <v>QINGDAO TRADER
2601N</v>
      </c>
      <c r="I9" s="10" t="n">
        <f aca="false">I3</f>
        <v>46069</v>
      </c>
      <c r="J9" s="18" t="str">
        <f aca="false">J3</f>
        <v>6~7</v>
      </c>
      <c r="K9" s="9" t="str">
        <f aca="false">K3</f>
        <v>DIRECT</v>
      </c>
      <c r="L9" s="10" t="n">
        <f aca="false">L3</f>
        <v>46069</v>
      </c>
      <c r="M9" s="12" t="str">
        <f aca="false">M3</f>
        <v>Include DTHC $550/650
DTHC PP/CC Available</v>
      </c>
    </row>
    <row r="10" customFormat="false" ht="28" hidden="false" customHeight="true" outlineLevel="0" collapsed="false">
      <c r="A10" s="2"/>
      <c r="B10" s="7" t="s">
        <v>49</v>
      </c>
      <c r="C10" s="8" t="s">
        <v>30</v>
      </c>
      <c r="D10" s="8" t="s">
        <v>30</v>
      </c>
      <c r="E10" s="8" t="s">
        <v>30</v>
      </c>
      <c r="F10" s="8" t="s">
        <v>30</v>
      </c>
      <c r="G10" s="9" t="str">
        <f aca="false">G4</f>
        <v>Vladivostok Fish Port</v>
      </c>
      <c r="H10" s="74" t="str">
        <f aca="false">H4</f>
        <v>MSC NOA ARIELA FA606A</v>
      </c>
      <c r="I10" s="79" t="n">
        <f aca="false">I4</f>
        <v>46066</v>
      </c>
      <c r="J10" s="75" t="str">
        <f aca="false">J4</f>
        <v>17~18</v>
      </c>
      <c r="K10" s="9" t="str">
        <f aca="false">K4</f>
        <v>VIA BUSAN</v>
      </c>
      <c r="L10" s="10" t="n">
        <f aca="false">L4</f>
        <v>46068</v>
      </c>
      <c r="M10" s="12" t="str">
        <f aca="false">M4</f>
        <v>Include DTHC、DDF</v>
      </c>
    </row>
    <row r="11" customFormat="false" ht="28" hidden="false" customHeight="true" outlineLevel="0" collapsed="false">
      <c r="A11" s="2"/>
      <c r="B11" s="7" t="s">
        <v>29</v>
      </c>
      <c r="C11" s="8" t="n">
        <v>1620</v>
      </c>
      <c r="D11" s="8" t="s">
        <v>72</v>
      </c>
      <c r="E11" s="8" t="n">
        <v>2420</v>
      </c>
      <c r="F11" s="8" t="s">
        <v>72</v>
      </c>
      <c r="G11" s="9" t="str">
        <f aca="false">G5</f>
        <v>Vladivostok Commercial Port</v>
      </c>
      <c r="H11" s="10" t="str">
        <f aca="false">H5</f>
        <v>Sat&amp;Sun</v>
      </c>
      <c r="I11" s="10"/>
      <c r="J11" s="18" t="n">
        <f aca="false">J5</f>
        <v>8</v>
      </c>
      <c r="K11" s="9" t="str">
        <f aca="false">K5</f>
        <v>VIA SHA</v>
      </c>
      <c r="L11" s="10" t="n">
        <f aca="false">L5</f>
        <v>46081</v>
      </c>
      <c r="M11" s="12" t="str">
        <f aca="false">M5</f>
        <v>Include DTHC $400/500
DDF $50/bill
DTHC&amp;DDF PP/CC Available</v>
      </c>
    </row>
    <row r="13" customFormat="false" ht="24" hidden="false" customHeight="true" outlineLevel="0" collapsed="false">
      <c r="A13" s="2" t="s">
        <v>248</v>
      </c>
      <c r="B13" s="3" t="s">
        <v>1</v>
      </c>
      <c r="C13" s="4" t="s">
        <v>70</v>
      </c>
      <c r="D13" s="4"/>
      <c r="E13" s="4" t="s">
        <v>71</v>
      </c>
      <c r="F13" s="4"/>
      <c r="G13" s="4" t="s">
        <v>4</v>
      </c>
      <c r="H13" s="4" t="s">
        <v>5</v>
      </c>
      <c r="I13" s="4" t="s">
        <v>7</v>
      </c>
      <c r="J13" s="4" t="s">
        <v>8</v>
      </c>
      <c r="K13" s="4" t="s">
        <v>9</v>
      </c>
      <c r="L13" s="5" t="s">
        <v>10</v>
      </c>
      <c r="M13" s="4" t="s">
        <v>136</v>
      </c>
    </row>
    <row r="14" customFormat="false" ht="24" hidden="false" customHeight="true" outlineLevel="0" collapsed="false">
      <c r="A14" s="2"/>
      <c r="B14" s="7" t="s">
        <v>21</v>
      </c>
      <c r="C14" s="8" t="s">
        <v>177</v>
      </c>
      <c r="D14" s="8" t="s">
        <v>73</v>
      </c>
      <c r="E14" s="8" t="s">
        <v>187</v>
      </c>
      <c r="F14" s="8" t="s">
        <v>73</v>
      </c>
      <c r="G14" s="9" t="str">
        <f aca="false">G8</f>
        <v>Vladivostok Commercial Port</v>
      </c>
      <c r="H14" s="10" t="str">
        <f aca="false">H8</f>
        <v>QINGDAO TRADER
2601N</v>
      </c>
      <c r="I14" s="10" t="n">
        <f aca="false">I8</f>
        <v>46069</v>
      </c>
      <c r="J14" s="18" t="str">
        <f aca="false">J8</f>
        <v>6~7</v>
      </c>
      <c r="K14" s="9" t="str">
        <f aca="false">K8</f>
        <v>DIRECT</v>
      </c>
      <c r="L14" s="10" t="n">
        <f aca="false">L8</f>
        <v>46069</v>
      </c>
      <c r="M14" s="12" t="str">
        <f aca="false">M8</f>
        <v>Include DTHC $550/650
DTHC PP/CC Available</v>
      </c>
    </row>
    <row r="15" customFormat="false" ht="24" hidden="false" customHeight="true" outlineLevel="0" collapsed="false">
      <c r="A15" s="2"/>
      <c r="B15" s="14" t="s">
        <v>27</v>
      </c>
      <c r="C15" s="8" t="s">
        <v>177</v>
      </c>
      <c r="D15" s="8" t="s">
        <v>73</v>
      </c>
      <c r="E15" s="8" t="s">
        <v>187</v>
      </c>
      <c r="F15" s="8" t="s">
        <v>73</v>
      </c>
      <c r="G15" s="9" t="str">
        <f aca="false">G9</f>
        <v>Vladivostok Commercial Port</v>
      </c>
      <c r="H15" s="10" t="str">
        <f aca="false">H9</f>
        <v>QINGDAO TRADER
2601N</v>
      </c>
      <c r="I15" s="10" t="n">
        <f aca="false">I9</f>
        <v>46069</v>
      </c>
      <c r="J15" s="18" t="str">
        <f aca="false">J9</f>
        <v>6~7</v>
      </c>
      <c r="K15" s="9" t="str">
        <f aca="false">K9</f>
        <v>DIRECT</v>
      </c>
      <c r="L15" s="10" t="n">
        <f aca="false">L9</f>
        <v>46069</v>
      </c>
      <c r="M15" s="12" t="str">
        <f aca="false">M9</f>
        <v>Include DTHC $550/650
DTHC PP/CC Available</v>
      </c>
      <c r="N15" s="69"/>
    </row>
    <row r="16" customFormat="false" ht="24" hidden="false" customHeight="true" outlineLevel="0" collapsed="false">
      <c r="A16" s="2"/>
      <c r="B16" s="7" t="s">
        <v>49</v>
      </c>
      <c r="C16" s="8" t="s">
        <v>30</v>
      </c>
      <c r="D16" s="8" t="s">
        <v>30</v>
      </c>
      <c r="E16" s="8" t="s">
        <v>30</v>
      </c>
      <c r="F16" s="8" t="s">
        <v>30</v>
      </c>
      <c r="G16" s="9" t="str">
        <f aca="false">G10</f>
        <v>Vladivostok Fish Port</v>
      </c>
      <c r="H16" s="74" t="str">
        <f aca="false">H10</f>
        <v>MSC NOA ARIELA FA606A</v>
      </c>
      <c r="I16" s="79" t="n">
        <f aca="false">I10</f>
        <v>46066</v>
      </c>
      <c r="J16" s="75" t="str">
        <f aca="false">J10</f>
        <v>17~18</v>
      </c>
      <c r="K16" s="9" t="str">
        <f aca="false">K10</f>
        <v>VIA BUSAN</v>
      </c>
      <c r="L16" s="10" t="n">
        <f aca="false">L10</f>
        <v>46068</v>
      </c>
      <c r="M16" s="12" t="str">
        <f aca="false">M10</f>
        <v>Include DTHC、DDF</v>
      </c>
      <c r="N16" s="69" t="s">
        <v>75</v>
      </c>
    </row>
    <row r="17" customFormat="false" ht="24" hidden="false" customHeight="true" outlineLevel="0" collapsed="false">
      <c r="A17" s="2"/>
      <c r="B17" s="7" t="s">
        <v>29</v>
      </c>
      <c r="C17" s="8" t="n">
        <v>2130</v>
      </c>
      <c r="D17" s="8" t="s">
        <v>73</v>
      </c>
      <c r="E17" s="8" t="n">
        <v>3300</v>
      </c>
      <c r="F17" s="8" t="s">
        <v>73</v>
      </c>
      <c r="G17" s="9" t="str">
        <f aca="false">G11</f>
        <v>Vladivostok Commercial Port</v>
      </c>
      <c r="H17" s="10" t="str">
        <f aca="false">H11</f>
        <v>Sat&amp;Sun</v>
      </c>
      <c r="I17" s="10"/>
      <c r="J17" s="18" t="n">
        <f aca="false">J11</f>
        <v>8</v>
      </c>
      <c r="K17" s="9" t="str">
        <f aca="false">K11</f>
        <v>VIA SHA</v>
      </c>
      <c r="L17" s="10" t="n">
        <f aca="false">L11</f>
        <v>46081</v>
      </c>
      <c r="M17" s="12" t="str">
        <f aca="false">M11</f>
        <v>Include DTHC $400/500
DDF $50/bill
DTHC&amp;DDF PP/CC Available</v>
      </c>
    </row>
    <row r="19" customFormat="false" ht="24" hidden="false" customHeight="true" outlineLevel="0" collapsed="false">
      <c r="A19" s="2" t="s">
        <v>249</v>
      </c>
      <c r="B19" s="3" t="s">
        <v>1</v>
      </c>
      <c r="C19" s="4" t="s">
        <v>70</v>
      </c>
      <c r="D19" s="4"/>
      <c r="E19" s="4" t="s">
        <v>71</v>
      </c>
      <c r="F19" s="4"/>
      <c r="G19" s="4" t="s">
        <v>4</v>
      </c>
      <c r="H19" s="4" t="s">
        <v>5</v>
      </c>
      <c r="I19" s="4" t="s">
        <v>7</v>
      </c>
      <c r="J19" s="4" t="s">
        <v>8</v>
      </c>
      <c r="K19" s="4" t="s">
        <v>9</v>
      </c>
      <c r="L19" s="5" t="s">
        <v>10</v>
      </c>
      <c r="M19" s="4" t="s">
        <v>136</v>
      </c>
    </row>
    <row r="20" customFormat="false" ht="24" hidden="false" customHeight="true" outlineLevel="0" collapsed="false">
      <c r="A20" s="2"/>
      <c r="B20" s="7" t="s">
        <v>21</v>
      </c>
      <c r="C20" s="8" t="s">
        <v>177</v>
      </c>
      <c r="D20" s="8" t="s">
        <v>73</v>
      </c>
      <c r="E20" s="8" t="s">
        <v>187</v>
      </c>
      <c r="F20" s="8" t="s">
        <v>73</v>
      </c>
      <c r="G20" s="9" t="str">
        <f aca="false">G14</f>
        <v>Vladivostok Commercial Port</v>
      </c>
      <c r="H20" s="10" t="str">
        <f aca="false">H14</f>
        <v>QINGDAO TRADER
2601N</v>
      </c>
      <c r="I20" s="10" t="n">
        <f aca="false">I14</f>
        <v>46069</v>
      </c>
      <c r="J20" s="18" t="str">
        <f aca="false">J14</f>
        <v>6~7</v>
      </c>
      <c r="K20" s="9" t="str">
        <f aca="false">K14</f>
        <v>DIRECT</v>
      </c>
      <c r="L20" s="10" t="n">
        <f aca="false">L14</f>
        <v>46069</v>
      </c>
      <c r="M20" s="12" t="str">
        <f aca="false">M14</f>
        <v>Include DTHC $550/650
DTHC PP/CC Available</v>
      </c>
    </row>
    <row r="21" customFormat="false" ht="24" hidden="false" customHeight="true" outlineLevel="0" collapsed="false">
      <c r="A21" s="2"/>
      <c r="B21" s="14" t="s">
        <v>27</v>
      </c>
      <c r="C21" s="8" t="s">
        <v>177</v>
      </c>
      <c r="D21" s="8" t="s">
        <v>73</v>
      </c>
      <c r="E21" s="8" t="s">
        <v>187</v>
      </c>
      <c r="F21" s="8" t="s">
        <v>73</v>
      </c>
      <c r="G21" s="9" t="str">
        <f aca="false">G15</f>
        <v>Vladivostok Commercial Port</v>
      </c>
      <c r="H21" s="10" t="str">
        <f aca="false">H15</f>
        <v>QINGDAO TRADER
2601N</v>
      </c>
      <c r="I21" s="10" t="n">
        <f aca="false">I15</f>
        <v>46069</v>
      </c>
      <c r="J21" s="18" t="str">
        <f aca="false">J15</f>
        <v>6~7</v>
      </c>
      <c r="K21" s="9" t="str">
        <f aca="false">K15</f>
        <v>DIRECT</v>
      </c>
      <c r="L21" s="10" t="n">
        <f aca="false">L15</f>
        <v>46069</v>
      </c>
      <c r="M21" s="12" t="str">
        <f aca="false">M15</f>
        <v>Include DTHC $550/650
DTHC PP/CC Available</v>
      </c>
      <c r="N21" s="69"/>
    </row>
    <row r="22" customFormat="false" ht="24" hidden="false" customHeight="true" outlineLevel="0" collapsed="false">
      <c r="A22" s="2"/>
      <c r="B22" s="7" t="s">
        <v>49</v>
      </c>
      <c r="C22" s="8" t="s">
        <v>30</v>
      </c>
      <c r="D22" s="8" t="s">
        <v>30</v>
      </c>
      <c r="E22" s="8" t="s">
        <v>30</v>
      </c>
      <c r="F22" s="8" t="s">
        <v>30</v>
      </c>
      <c r="G22" s="9" t="str">
        <f aca="false">G16</f>
        <v>Vladivostok Fish Port</v>
      </c>
      <c r="H22" s="74" t="str">
        <f aca="false">H16</f>
        <v>MSC NOA ARIELA FA606A</v>
      </c>
      <c r="I22" s="79" t="n">
        <f aca="false">I16</f>
        <v>46066</v>
      </c>
      <c r="J22" s="75" t="str">
        <f aca="false">J16</f>
        <v>17~18</v>
      </c>
      <c r="K22" s="9" t="str">
        <f aca="false">K16</f>
        <v>VIA BUSAN</v>
      </c>
      <c r="L22" s="10" t="n">
        <f aca="false">L16</f>
        <v>46068</v>
      </c>
      <c r="M22" s="12" t="str">
        <f aca="false">M16</f>
        <v>Include DTHC、DDF</v>
      </c>
      <c r="N22" s="69" t="s">
        <v>75</v>
      </c>
    </row>
    <row r="23" customFormat="false" ht="24" hidden="false" customHeight="true" outlineLevel="0" collapsed="false">
      <c r="A23" s="2"/>
      <c r="B23" s="7" t="s">
        <v>29</v>
      </c>
      <c r="C23" s="8" t="n">
        <v>1930</v>
      </c>
      <c r="D23" s="8" t="s">
        <v>73</v>
      </c>
      <c r="E23" s="8" t="n">
        <v>3020</v>
      </c>
      <c r="F23" s="8" t="s">
        <v>73</v>
      </c>
      <c r="G23" s="9" t="str">
        <f aca="false">G17</f>
        <v>Vladivostok Commercial Port</v>
      </c>
      <c r="H23" s="10" t="str">
        <f aca="false">H17</f>
        <v>Sat&amp;Sun</v>
      </c>
      <c r="I23" s="10"/>
      <c r="J23" s="18" t="n">
        <f aca="false">J17</f>
        <v>8</v>
      </c>
      <c r="K23" s="9" t="str">
        <f aca="false">K17</f>
        <v>VIA SHA</v>
      </c>
      <c r="L23" s="10" t="n">
        <f aca="false">L17</f>
        <v>46081</v>
      </c>
      <c r="M23" s="12" t="str">
        <f aca="false">M17</f>
        <v>Include DTHC $400/500
DDF $50/bill
DTHC&amp;DDF PP/CC Available</v>
      </c>
    </row>
    <row r="25" customFormat="false" ht="24" hidden="false" customHeight="true" outlineLevel="0" collapsed="false">
      <c r="A25" s="2" t="s">
        <v>250</v>
      </c>
      <c r="B25" s="3" t="s">
        <v>1</v>
      </c>
      <c r="C25" s="4" t="s">
        <v>70</v>
      </c>
      <c r="D25" s="4"/>
      <c r="E25" s="4" t="s">
        <v>71</v>
      </c>
      <c r="F25" s="4"/>
      <c r="G25" s="4" t="s">
        <v>4</v>
      </c>
      <c r="H25" s="4" t="s">
        <v>5</v>
      </c>
      <c r="I25" s="4" t="s">
        <v>7</v>
      </c>
      <c r="J25" s="4" t="s">
        <v>8</v>
      </c>
      <c r="K25" s="4" t="s">
        <v>9</v>
      </c>
      <c r="L25" s="5" t="s">
        <v>10</v>
      </c>
      <c r="M25" s="4" t="s">
        <v>136</v>
      </c>
    </row>
    <row r="26" customFormat="false" ht="24" hidden="false" customHeight="true" outlineLevel="0" collapsed="false">
      <c r="A26" s="2"/>
      <c r="B26" s="7" t="s">
        <v>21</v>
      </c>
      <c r="C26" s="8" t="s">
        <v>177</v>
      </c>
      <c r="D26" s="8" t="s">
        <v>73</v>
      </c>
      <c r="E26" s="8" t="s">
        <v>187</v>
      </c>
      <c r="F26" s="8" t="s">
        <v>73</v>
      </c>
      <c r="G26" s="9" t="str">
        <f aca="false">G20</f>
        <v>Vladivostok Commercial Port</v>
      </c>
      <c r="H26" s="10" t="str">
        <f aca="false">H20</f>
        <v>QINGDAO TRADER
2601N</v>
      </c>
      <c r="I26" s="10" t="n">
        <f aca="false">I20</f>
        <v>46069</v>
      </c>
      <c r="J26" s="18" t="str">
        <f aca="false">J20</f>
        <v>6~7</v>
      </c>
      <c r="K26" s="9" t="str">
        <f aca="false">K20</f>
        <v>DIRECT</v>
      </c>
      <c r="L26" s="10" t="n">
        <f aca="false">L20</f>
        <v>46069</v>
      </c>
      <c r="M26" s="12" t="str">
        <f aca="false">M20</f>
        <v>Include DTHC $550/650
DTHC PP/CC Available</v>
      </c>
    </row>
    <row r="27" customFormat="false" ht="24" hidden="false" customHeight="true" outlineLevel="0" collapsed="false">
      <c r="A27" s="2"/>
      <c r="B27" s="14" t="s">
        <v>27</v>
      </c>
      <c r="C27" s="8" t="s">
        <v>177</v>
      </c>
      <c r="D27" s="8" t="s">
        <v>73</v>
      </c>
      <c r="E27" s="8" t="s">
        <v>187</v>
      </c>
      <c r="F27" s="8" t="s">
        <v>73</v>
      </c>
      <c r="G27" s="9" t="str">
        <f aca="false">G21</f>
        <v>Vladivostok Commercial Port</v>
      </c>
      <c r="H27" s="10" t="str">
        <f aca="false">H21</f>
        <v>QINGDAO TRADER
2601N</v>
      </c>
      <c r="I27" s="10" t="n">
        <f aca="false">I21</f>
        <v>46069</v>
      </c>
      <c r="J27" s="18" t="str">
        <f aca="false">J21</f>
        <v>6~7</v>
      </c>
      <c r="K27" s="9" t="str">
        <f aca="false">K21</f>
        <v>DIRECT</v>
      </c>
      <c r="L27" s="10" t="n">
        <f aca="false">L21</f>
        <v>46069</v>
      </c>
      <c r="M27" s="12" t="str">
        <f aca="false">M21</f>
        <v>Include DTHC $550/650
DTHC PP/CC Available</v>
      </c>
      <c r="N27" s="69"/>
    </row>
    <row r="28" customFormat="false" ht="24" hidden="false" customHeight="true" outlineLevel="0" collapsed="false">
      <c r="A28" s="2"/>
      <c r="B28" s="7" t="s">
        <v>49</v>
      </c>
      <c r="C28" s="8" t="s">
        <v>30</v>
      </c>
      <c r="D28" s="8" t="s">
        <v>30</v>
      </c>
      <c r="E28" s="8" t="s">
        <v>30</v>
      </c>
      <c r="F28" s="8" t="s">
        <v>30</v>
      </c>
      <c r="G28" s="9" t="str">
        <f aca="false">G22</f>
        <v>Vladivostok Fish Port</v>
      </c>
      <c r="H28" s="74" t="str">
        <f aca="false">H22</f>
        <v>MSC NOA ARIELA FA606A</v>
      </c>
      <c r="I28" s="79" t="n">
        <f aca="false">I22</f>
        <v>46066</v>
      </c>
      <c r="J28" s="75" t="str">
        <f aca="false">J22</f>
        <v>17~18</v>
      </c>
      <c r="K28" s="9" t="str">
        <f aca="false">K22</f>
        <v>VIA BUSAN</v>
      </c>
      <c r="L28" s="10" t="n">
        <f aca="false">L22</f>
        <v>46068</v>
      </c>
      <c r="M28" s="12" t="str">
        <f aca="false">M22</f>
        <v>Include DTHC、DDF</v>
      </c>
      <c r="N28" s="69" t="s">
        <v>75</v>
      </c>
    </row>
    <row r="29" customFormat="false" ht="24" hidden="false" customHeight="true" outlineLevel="0" collapsed="false">
      <c r="A29" s="2"/>
      <c r="B29" s="7" t="s">
        <v>29</v>
      </c>
      <c r="C29" s="8" t="n">
        <v>2025</v>
      </c>
      <c r="D29" s="8" t="s">
        <v>73</v>
      </c>
      <c r="E29" s="8" t="n">
        <v>3120</v>
      </c>
      <c r="F29" s="8" t="s">
        <v>73</v>
      </c>
      <c r="G29" s="9" t="str">
        <f aca="false">G23</f>
        <v>Vladivostok Commercial Port</v>
      </c>
      <c r="H29" s="10" t="str">
        <f aca="false">H23</f>
        <v>Sat&amp;Sun</v>
      </c>
      <c r="I29" s="10"/>
      <c r="J29" s="18" t="n">
        <f aca="false">J23</f>
        <v>8</v>
      </c>
      <c r="K29" s="9" t="str">
        <f aca="false">K23</f>
        <v>VIA SHA</v>
      </c>
      <c r="L29" s="10" t="n">
        <f aca="false">L23</f>
        <v>46081</v>
      </c>
      <c r="M29" s="12" t="str">
        <f aca="false">M23</f>
        <v>Include DTHC $400/500
DDF $50/bill
DTHC&amp;DDF PP/CC Available</v>
      </c>
    </row>
    <row r="31" customFormat="false" ht="24" hidden="false" customHeight="true" outlineLevel="0" collapsed="false">
      <c r="A31" s="2" t="s">
        <v>251</v>
      </c>
      <c r="B31" s="3" t="s">
        <v>1</v>
      </c>
      <c r="C31" s="4" t="s">
        <v>70</v>
      </c>
      <c r="D31" s="4"/>
      <c r="E31" s="4" t="s">
        <v>71</v>
      </c>
      <c r="F31" s="4"/>
      <c r="G31" s="4" t="s">
        <v>4</v>
      </c>
      <c r="H31" s="4" t="s">
        <v>5</v>
      </c>
      <c r="I31" s="4" t="s">
        <v>7</v>
      </c>
      <c r="J31" s="4" t="s">
        <v>8</v>
      </c>
      <c r="K31" s="4" t="s">
        <v>9</v>
      </c>
      <c r="L31" s="5" t="s">
        <v>10</v>
      </c>
      <c r="M31" s="4" t="s">
        <v>136</v>
      </c>
    </row>
    <row r="32" customFormat="false" ht="24" hidden="false" customHeight="true" outlineLevel="0" collapsed="false">
      <c r="A32" s="2"/>
      <c r="B32" s="7" t="s">
        <v>21</v>
      </c>
      <c r="C32" s="8" t="s">
        <v>177</v>
      </c>
      <c r="D32" s="8" t="s">
        <v>73</v>
      </c>
      <c r="E32" s="8" t="s">
        <v>187</v>
      </c>
      <c r="F32" s="8" t="s">
        <v>73</v>
      </c>
      <c r="G32" s="9" t="str">
        <f aca="false">G26</f>
        <v>Vladivostok Commercial Port</v>
      </c>
      <c r="H32" s="10" t="str">
        <f aca="false">H26</f>
        <v>QINGDAO TRADER
2601N</v>
      </c>
      <c r="I32" s="10" t="n">
        <f aca="false">I26</f>
        <v>46069</v>
      </c>
      <c r="J32" s="18" t="str">
        <f aca="false">J26</f>
        <v>6~7</v>
      </c>
      <c r="K32" s="9" t="str">
        <f aca="false">K26</f>
        <v>DIRECT</v>
      </c>
      <c r="L32" s="10" t="n">
        <f aca="false">L26</f>
        <v>46069</v>
      </c>
      <c r="M32" s="12" t="str">
        <f aca="false">M26</f>
        <v>Include DTHC $550/650
DTHC PP/CC Available</v>
      </c>
    </row>
    <row r="33" customFormat="false" ht="24" hidden="false" customHeight="true" outlineLevel="0" collapsed="false">
      <c r="A33" s="2"/>
      <c r="B33" s="14" t="s">
        <v>27</v>
      </c>
      <c r="C33" s="8" t="s">
        <v>177</v>
      </c>
      <c r="D33" s="8" t="s">
        <v>73</v>
      </c>
      <c r="E33" s="8" t="s">
        <v>187</v>
      </c>
      <c r="F33" s="8" t="s">
        <v>73</v>
      </c>
      <c r="G33" s="9" t="str">
        <f aca="false">G27</f>
        <v>Vladivostok Commercial Port</v>
      </c>
      <c r="H33" s="10" t="str">
        <f aca="false">H27</f>
        <v>QINGDAO TRADER
2601N</v>
      </c>
      <c r="I33" s="10" t="n">
        <f aca="false">I27</f>
        <v>46069</v>
      </c>
      <c r="J33" s="18" t="str">
        <f aca="false">J27</f>
        <v>6~7</v>
      </c>
      <c r="K33" s="9" t="str">
        <f aca="false">K27</f>
        <v>DIRECT</v>
      </c>
      <c r="L33" s="10" t="n">
        <f aca="false">L27</f>
        <v>46069</v>
      </c>
      <c r="M33" s="12" t="str">
        <f aca="false">M27</f>
        <v>Include DTHC $550/650
DTHC PP/CC Available</v>
      </c>
      <c r="N33" s="69"/>
    </row>
    <row r="34" customFormat="false" ht="24" hidden="false" customHeight="true" outlineLevel="0" collapsed="false">
      <c r="A34" s="2"/>
      <c r="B34" s="7" t="s">
        <v>49</v>
      </c>
      <c r="C34" s="8" t="s">
        <v>30</v>
      </c>
      <c r="D34" s="8" t="s">
        <v>30</v>
      </c>
      <c r="E34" s="8" t="s">
        <v>30</v>
      </c>
      <c r="F34" s="8" t="s">
        <v>30</v>
      </c>
      <c r="G34" s="9" t="str">
        <f aca="false">G28</f>
        <v>Vladivostok Fish Port</v>
      </c>
      <c r="H34" s="74" t="str">
        <f aca="false">H28</f>
        <v>MSC NOA ARIELA FA606A</v>
      </c>
      <c r="I34" s="79" t="n">
        <f aca="false">I28</f>
        <v>46066</v>
      </c>
      <c r="J34" s="75" t="str">
        <f aca="false">J28</f>
        <v>17~18</v>
      </c>
      <c r="K34" s="9" t="str">
        <f aca="false">K28</f>
        <v>VIA BUSAN</v>
      </c>
      <c r="L34" s="10" t="n">
        <f aca="false">L28</f>
        <v>46068</v>
      </c>
      <c r="M34" s="12" t="str">
        <f aca="false">M28</f>
        <v>Include DTHC、DDF</v>
      </c>
      <c r="N34" s="53" t="s">
        <v>75</v>
      </c>
    </row>
    <row r="35" customFormat="false" ht="24" hidden="false" customHeight="true" outlineLevel="0" collapsed="false">
      <c r="A35" s="2"/>
      <c r="B35" s="7" t="s">
        <v>29</v>
      </c>
      <c r="C35" s="8" t="n">
        <v>1750</v>
      </c>
      <c r="D35" s="8" t="s">
        <v>73</v>
      </c>
      <c r="E35" s="8" t="n">
        <v>2695</v>
      </c>
      <c r="F35" s="8" t="s">
        <v>73</v>
      </c>
      <c r="G35" s="9" t="str">
        <f aca="false">G29</f>
        <v>Vladivostok Commercial Port</v>
      </c>
      <c r="H35" s="10" t="str">
        <f aca="false">H29</f>
        <v>Sat&amp;Sun</v>
      </c>
      <c r="I35" s="10"/>
      <c r="J35" s="18" t="n">
        <f aca="false">J29</f>
        <v>8</v>
      </c>
      <c r="K35" s="9" t="str">
        <f aca="false">K29</f>
        <v>VIA SHA</v>
      </c>
      <c r="L35" s="10" t="n">
        <f aca="false">L29</f>
        <v>46081</v>
      </c>
      <c r="M35" s="12" t="str">
        <f aca="false">M29</f>
        <v>Include DTHC $400/500
DDF $50/bill
DTHC&amp;DDF PP/CC Available</v>
      </c>
    </row>
    <row r="37" customFormat="false" ht="24" hidden="false" customHeight="true" outlineLevel="0" collapsed="false">
      <c r="A37" s="2" t="s">
        <v>252</v>
      </c>
      <c r="B37" s="3" t="s">
        <v>1</v>
      </c>
      <c r="C37" s="4" t="s">
        <v>70</v>
      </c>
      <c r="D37" s="4"/>
      <c r="E37" s="4" t="s">
        <v>71</v>
      </c>
      <c r="F37" s="4"/>
      <c r="G37" s="4" t="s">
        <v>4</v>
      </c>
      <c r="H37" s="4" t="s">
        <v>5</v>
      </c>
      <c r="I37" s="4" t="s">
        <v>7</v>
      </c>
      <c r="J37" s="4" t="s">
        <v>8</v>
      </c>
      <c r="K37" s="4" t="s">
        <v>9</v>
      </c>
      <c r="L37" s="5" t="s">
        <v>10</v>
      </c>
      <c r="M37" s="4" t="s">
        <v>136</v>
      </c>
    </row>
    <row r="38" customFormat="false" ht="24" hidden="false" customHeight="true" outlineLevel="0" collapsed="false">
      <c r="A38" s="2"/>
      <c r="B38" s="7" t="s">
        <v>21</v>
      </c>
      <c r="C38" s="8" t="s">
        <v>177</v>
      </c>
      <c r="D38" s="8" t="s">
        <v>73</v>
      </c>
      <c r="E38" s="8" t="s">
        <v>187</v>
      </c>
      <c r="F38" s="8" t="s">
        <v>73</v>
      </c>
      <c r="G38" s="9" t="str">
        <f aca="false">G32</f>
        <v>Vladivostok Commercial Port</v>
      </c>
      <c r="H38" s="10" t="str">
        <f aca="false">H32</f>
        <v>QINGDAO TRADER
2601N</v>
      </c>
      <c r="I38" s="10" t="n">
        <f aca="false">I32</f>
        <v>46069</v>
      </c>
      <c r="J38" s="18" t="str">
        <f aca="false">J32</f>
        <v>6~7</v>
      </c>
      <c r="K38" s="9" t="str">
        <f aca="false">K32</f>
        <v>DIRECT</v>
      </c>
      <c r="L38" s="10" t="n">
        <f aca="false">L32</f>
        <v>46069</v>
      </c>
      <c r="M38" s="12" t="str">
        <f aca="false">M32</f>
        <v>Include DTHC $550/650
DTHC PP/CC Available</v>
      </c>
    </row>
    <row r="39" customFormat="false" ht="24" hidden="false" customHeight="true" outlineLevel="0" collapsed="false">
      <c r="A39" s="2"/>
      <c r="B39" s="14" t="s">
        <v>27</v>
      </c>
      <c r="C39" s="8" t="s">
        <v>177</v>
      </c>
      <c r="D39" s="8" t="s">
        <v>73</v>
      </c>
      <c r="E39" s="8" t="s">
        <v>187</v>
      </c>
      <c r="F39" s="8" t="s">
        <v>73</v>
      </c>
      <c r="G39" s="9" t="str">
        <f aca="false">G33</f>
        <v>Vladivostok Commercial Port</v>
      </c>
      <c r="H39" s="10" t="str">
        <f aca="false">H33</f>
        <v>QINGDAO TRADER
2601N</v>
      </c>
      <c r="I39" s="10" t="n">
        <f aca="false">I33</f>
        <v>46069</v>
      </c>
      <c r="J39" s="18" t="str">
        <f aca="false">J33</f>
        <v>6~7</v>
      </c>
      <c r="K39" s="9" t="str">
        <f aca="false">K33</f>
        <v>DIRECT</v>
      </c>
      <c r="L39" s="10" t="n">
        <f aca="false">L33</f>
        <v>46069</v>
      </c>
      <c r="M39" s="12" t="str">
        <f aca="false">M33</f>
        <v>Include DTHC $550/650
DTHC PP/CC Available</v>
      </c>
      <c r="N39" s="53"/>
    </row>
    <row r="40" customFormat="false" ht="24" hidden="false" customHeight="true" outlineLevel="0" collapsed="false">
      <c r="A40" s="2"/>
      <c r="B40" s="7" t="s">
        <v>49</v>
      </c>
      <c r="C40" s="8" t="s">
        <v>30</v>
      </c>
      <c r="D40" s="8" t="s">
        <v>30</v>
      </c>
      <c r="E40" s="8" t="s">
        <v>30</v>
      </c>
      <c r="F40" s="8" t="s">
        <v>30</v>
      </c>
      <c r="G40" s="9" t="str">
        <f aca="false">G34</f>
        <v>Vladivostok Fish Port</v>
      </c>
      <c r="H40" s="74" t="str">
        <f aca="false">H34</f>
        <v>MSC NOA ARIELA FA606A</v>
      </c>
      <c r="I40" s="79" t="n">
        <f aca="false">I34</f>
        <v>46066</v>
      </c>
      <c r="J40" s="75" t="str">
        <f aca="false">J34</f>
        <v>17~18</v>
      </c>
      <c r="K40" s="9" t="str">
        <f aca="false">K34</f>
        <v>VIA BUSAN</v>
      </c>
      <c r="L40" s="10" t="n">
        <f aca="false">L34</f>
        <v>46068</v>
      </c>
      <c r="M40" s="12" t="str">
        <f aca="false">M34</f>
        <v>Include DTHC、DDF</v>
      </c>
      <c r="N40" s="53" t="s">
        <v>75</v>
      </c>
    </row>
    <row r="41" customFormat="false" ht="24" hidden="false" customHeight="true" outlineLevel="0" collapsed="false">
      <c r="A41" s="2"/>
      <c r="B41" s="7" t="s">
        <v>29</v>
      </c>
      <c r="C41" s="8" t="n">
        <v>1980</v>
      </c>
      <c r="D41" s="8" t="s">
        <v>73</v>
      </c>
      <c r="E41" s="8" t="n">
        <v>3100</v>
      </c>
      <c r="F41" s="8" t="s">
        <v>73</v>
      </c>
      <c r="G41" s="9" t="str">
        <f aca="false">G35</f>
        <v>Vladivostok Commercial Port</v>
      </c>
      <c r="H41" s="10" t="str">
        <f aca="false">H35</f>
        <v>Sat&amp;Sun</v>
      </c>
      <c r="I41" s="10"/>
      <c r="J41" s="18" t="n">
        <f aca="false">J35</f>
        <v>8</v>
      </c>
      <c r="K41" s="9" t="str">
        <f aca="false">K35</f>
        <v>VIA SHA</v>
      </c>
      <c r="L41" s="10" t="n">
        <f aca="false">L35</f>
        <v>46081</v>
      </c>
      <c r="M41" s="12" t="str">
        <f aca="false">M35</f>
        <v>Include DTHC $400/500
DDF $50/bill
DTHC&amp;DDF PP/CC Available</v>
      </c>
    </row>
    <row r="43" customFormat="false" ht="24" hidden="false" customHeight="true" outlineLevel="0" collapsed="false">
      <c r="A43" s="2" t="s">
        <v>253</v>
      </c>
      <c r="B43" s="3" t="s">
        <v>1</v>
      </c>
      <c r="C43" s="4" t="s">
        <v>70</v>
      </c>
      <c r="D43" s="4"/>
      <c r="E43" s="4" t="s">
        <v>71</v>
      </c>
      <c r="F43" s="4"/>
      <c r="G43" s="4" t="s">
        <v>4</v>
      </c>
      <c r="H43" s="4" t="s">
        <v>5</v>
      </c>
      <c r="I43" s="4" t="s">
        <v>7</v>
      </c>
      <c r="J43" s="4" t="s">
        <v>8</v>
      </c>
      <c r="K43" s="4" t="s">
        <v>9</v>
      </c>
      <c r="L43" s="5" t="s">
        <v>10</v>
      </c>
      <c r="M43" s="4" t="s">
        <v>136</v>
      </c>
    </row>
    <row r="44" customFormat="false" ht="24" hidden="false" customHeight="true" outlineLevel="0" collapsed="false">
      <c r="A44" s="2"/>
      <c r="B44" s="7" t="s">
        <v>21</v>
      </c>
      <c r="C44" s="8" t="s">
        <v>177</v>
      </c>
      <c r="D44" s="8" t="s">
        <v>73</v>
      </c>
      <c r="E44" s="8" t="s">
        <v>187</v>
      </c>
      <c r="F44" s="8" t="s">
        <v>73</v>
      </c>
      <c r="G44" s="9" t="str">
        <f aca="false">G38</f>
        <v>Vladivostok Commercial Port</v>
      </c>
      <c r="H44" s="10" t="str">
        <f aca="false">H38</f>
        <v>QINGDAO TRADER
2601N</v>
      </c>
      <c r="I44" s="10" t="n">
        <f aca="false">I38</f>
        <v>46069</v>
      </c>
      <c r="J44" s="18" t="str">
        <f aca="false">J38</f>
        <v>6~7</v>
      </c>
      <c r="K44" s="9" t="str">
        <f aca="false">K38</f>
        <v>DIRECT</v>
      </c>
      <c r="L44" s="10" t="n">
        <f aca="false">L38</f>
        <v>46069</v>
      </c>
      <c r="M44" s="12" t="str">
        <f aca="false">M38</f>
        <v>Include DTHC $550/650
DTHC PP/CC Available</v>
      </c>
    </row>
    <row r="45" customFormat="false" ht="24" hidden="false" customHeight="true" outlineLevel="0" collapsed="false">
      <c r="A45" s="2"/>
      <c r="B45" s="14" t="s">
        <v>27</v>
      </c>
      <c r="C45" s="8" t="s">
        <v>177</v>
      </c>
      <c r="D45" s="8" t="s">
        <v>73</v>
      </c>
      <c r="E45" s="8" t="s">
        <v>187</v>
      </c>
      <c r="F45" s="8" t="s">
        <v>73</v>
      </c>
      <c r="G45" s="9" t="str">
        <f aca="false">G39</f>
        <v>Vladivostok Commercial Port</v>
      </c>
      <c r="H45" s="10" t="str">
        <f aca="false">H39</f>
        <v>QINGDAO TRADER
2601N</v>
      </c>
      <c r="I45" s="10" t="n">
        <f aca="false">I39</f>
        <v>46069</v>
      </c>
      <c r="J45" s="18" t="str">
        <f aca="false">J39</f>
        <v>6~7</v>
      </c>
      <c r="K45" s="9" t="str">
        <f aca="false">K39</f>
        <v>DIRECT</v>
      </c>
      <c r="L45" s="10" t="n">
        <f aca="false">L39</f>
        <v>46069</v>
      </c>
      <c r="M45" s="12" t="str">
        <f aca="false">M39</f>
        <v>Include DTHC $550/650
DTHC PP/CC Available</v>
      </c>
      <c r="N45" s="53"/>
    </row>
    <row r="46" customFormat="false" ht="24" hidden="false" customHeight="true" outlineLevel="0" collapsed="false">
      <c r="A46" s="2"/>
      <c r="B46" s="7" t="s">
        <v>49</v>
      </c>
      <c r="C46" s="8" t="s">
        <v>30</v>
      </c>
      <c r="D46" s="8" t="s">
        <v>30</v>
      </c>
      <c r="E46" s="8" t="s">
        <v>30</v>
      </c>
      <c r="F46" s="8" t="s">
        <v>30</v>
      </c>
      <c r="G46" s="9" t="str">
        <f aca="false">G40</f>
        <v>Vladivostok Fish Port</v>
      </c>
      <c r="H46" s="74" t="str">
        <f aca="false">H40</f>
        <v>MSC NOA ARIELA FA606A</v>
      </c>
      <c r="I46" s="79" t="n">
        <f aca="false">I40</f>
        <v>46066</v>
      </c>
      <c r="J46" s="75" t="str">
        <f aca="false">J40</f>
        <v>17~18</v>
      </c>
      <c r="K46" s="9" t="str">
        <f aca="false">K40</f>
        <v>VIA BUSAN</v>
      </c>
      <c r="L46" s="10" t="n">
        <f aca="false">L40</f>
        <v>46068</v>
      </c>
      <c r="M46" s="12" t="str">
        <f aca="false">M40</f>
        <v>Include DTHC、DDF</v>
      </c>
      <c r="N46" s="53" t="s">
        <v>75</v>
      </c>
    </row>
    <row r="47" customFormat="false" ht="24" hidden="false" customHeight="true" outlineLevel="0" collapsed="false">
      <c r="A47" s="2"/>
      <c r="B47" s="7" t="s">
        <v>29</v>
      </c>
      <c r="C47" s="8" t="n">
        <v>1750</v>
      </c>
      <c r="D47" s="8" t="s">
        <v>73</v>
      </c>
      <c r="E47" s="8" t="n">
        <v>2520</v>
      </c>
      <c r="F47" s="8" t="s">
        <v>73</v>
      </c>
      <c r="G47" s="9" t="str">
        <f aca="false">G41</f>
        <v>Vladivostok Commercial Port</v>
      </c>
      <c r="H47" s="10" t="str">
        <f aca="false">H41</f>
        <v>Sat&amp;Sun</v>
      </c>
      <c r="I47" s="10"/>
      <c r="J47" s="18" t="n">
        <f aca="false">J41</f>
        <v>8</v>
      </c>
      <c r="K47" s="9" t="str">
        <f aca="false">K41</f>
        <v>VIA SHA</v>
      </c>
      <c r="L47" s="10" t="n">
        <f aca="false">L41</f>
        <v>46081</v>
      </c>
      <c r="M47" s="12" t="str">
        <f aca="false">M41</f>
        <v>Include DTHC $400/500
DDF $50/bill
DTHC&amp;DDF PP/CC Available</v>
      </c>
    </row>
    <row r="49" customFormat="false" ht="24" hidden="false" customHeight="true" outlineLevel="0" collapsed="false">
      <c r="A49" s="2" t="s">
        <v>254</v>
      </c>
      <c r="B49" s="3" t="s">
        <v>1</v>
      </c>
      <c r="C49" s="4" t="s">
        <v>70</v>
      </c>
      <c r="D49" s="4"/>
      <c r="E49" s="4" t="s">
        <v>71</v>
      </c>
      <c r="F49" s="4"/>
      <c r="G49" s="4" t="s">
        <v>4</v>
      </c>
      <c r="H49" s="4" t="s">
        <v>5</v>
      </c>
      <c r="I49" s="4" t="s">
        <v>7</v>
      </c>
      <c r="J49" s="4" t="s">
        <v>8</v>
      </c>
      <c r="K49" s="4" t="s">
        <v>9</v>
      </c>
      <c r="L49" s="5" t="s">
        <v>10</v>
      </c>
      <c r="M49" s="4" t="s">
        <v>136</v>
      </c>
    </row>
    <row r="50" customFormat="false" ht="24" hidden="false" customHeight="true" outlineLevel="0" collapsed="false">
      <c r="A50" s="2"/>
      <c r="B50" s="7" t="s">
        <v>21</v>
      </c>
      <c r="C50" s="8" t="s">
        <v>177</v>
      </c>
      <c r="D50" s="8" t="s">
        <v>73</v>
      </c>
      <c r="E50" s="8" t="s">
        <v>187</v>
      </c>
      <c r="F50" s="8" t="s">
        <v>73</v>
      </c>
      <c r="G50" s="9" t="str">
        <f aca="false">G44</f>
        <v>Vladivostok Commercial Port</v>
      </c>
      <c r="H50" s="10" t="str">
        <f aca="false">H44</f>
        <v>QINGDAO TRADER
2601N</v>
      </c>
      <c r="I50" s="10" t="n">
        <f aca="false">I44</f>
        <v>46069</v>
      </c>
      <c r="J50" s="18" t="str">
        <f aca="false">J44</f>
        <v>6~7</v>
      </c>
      <c r="K50" s="9" t="str">
        <f aca="false">K44</f>
        <v>DIRECT</v>
      </c>
      <c r="L50" s="10" t="n">
        <f aca="false">L44</f>
        <v>46069</v>
      </c>
      <c r="M50" s="12" t="str">
        <f aca="false">M44</f>
        <v>Include DTHC $550/650
DTHC PP/CC Available</v>
      </c>
    </row>
    <row r="51" customFormat="false" ht="24" hidden="false" customHeight="true" outlineLevel="0" collapsed="false">
      <c r="A51" s="2"/>
      <c r="B51" s="14" t="s">
        <v>27</v>
      </c>
      <c r="C51" s="8" t="s">
        <v>177</v>
      </c>
      <c r="D51" s="8" t="s">
        <v>73</v>
      </c>
      <c r="E51" s="8" t="s">
        <v>187</v>
      </c>
      <c r="F51" s="8" t="s">
        <v>73</v>
      </c>
      <c r="G51" s="9" t="str">
        <f aca="false">G45</f>
        <v>Vladivostok Commercial Port</v>
      </c>
      <c r="H51" s="10" t="str">
        <f aca="false">H45</f>
        <v>QINGDAO TRADER
2601N</v>
      </c>
      <c r="I51" s="10" t="n">
        <f aca="false">I45</f>
        <v>46069</v>
      </c>
      <c r="J51" s="18" t="str">
        <f aca="false">J45</f>
        <v>6~7</v>
      </c>
      <c r="K51" s="9" t="str">
        <f aca="false">K45</f>
        <v>DIRECT</v>
      </c>
      <c r="L51" s="10" t="n">
        <f aca="false">L45</f>
        <v>46069</v>
      </c>
      <c r="M51" s="12" t="str">
        <f aca="false">M45</f>
        <v>Include DTHC $550/650
DTHC PP/CC Available</v>
      </c>
    </row>
    <row r="52" customFormat="false" ht="24" hidden="false" customHeight="true" outlineLevel="0" collapsed="false">
      <c r="A52" s="2"/>
      <c r="B52" s="7" t="s">
        <v>49</v>
      </c>
      <c r="C52" s="8" t="s">
        <v>30</v>
      </c>
      <c r="D52" s="8" t="s">
        <v>30</v>
      </c>
      <c r="E52" s="8" t="s">
        <v>30</v>
      </c>
      <c r="F52" s="8" t="s">
        <v>30</v>
      </c>
      <c r="G52" s="9" t="str">
        <f aca="false">G46</f>
        <v>Vladivostok Fish Port</v>
      </c>
      <c r="H52" s="74" t="str">
        <f aca="false">H46</f>
        <v>MSC NOA ARIELA FA606A</v>
      </c>
      <c r="I52" s="79" t="n">
        <f aca="false">I46</f>
        <v>46066</v>
      </c>
      <c r="J52" s="75" t="str">
        <f aca="false">J46</f>
        <v>17~18</v>
      </c>
      <c r="K52" s="9" t="str">
        <f aca="false">K46</f>
        <v>VIA BUSAN</v>
      </c>
      <c r="L52" s="10" t="n">
        <f aca="false">L46</f>
        <v>46068</v>
      </c>
      <c r="M52" s="12" t="str">
        <f aca="false">M46</f>
        <v>Include DTHC、DDF</v>
      </c>
    </row>
    <row r="53" customFormat="false" ht="24" hidden="false" customHeight="true" outlineLevel="0" collapsed="false">
      <c r="A53" s="2"/>
      <c r="B53" s="7" t="s">
        <v>29</v>
      </c>
      <c r="C53" s="8" t="n">
        <v>1900</v>
      </c>
      <c r="D53" s="8" t="s">
        <v>73</v>
      </c>
      <c r="E53" s="8" t="s">
        <v>30</v>
      </c>
      <c r="F53" s="8" t="s">
        <v>30</v>
      </c>
      <c r="G53" s="9" t="str">
        <f aca="false">G47</f>
        <v>Vladivostok Commercial Port</v>
      </c>
      <c r="H53" s="10" t="str">
        <f aca="false">H47</f>
        <v>Sat&amp;Sun</v>
      </c>
      <c r="I53" s="10"/>
      <c r="J53" s="18" t="n">
        <f aca="false">J47</f>
        <v>8</v>
      </c>
      <c r="K53" s="9" t="str">
        <f aca="false">K47</f>
        <v>VIA SHA</v>
      </c>
      <c r="L53" s="10" t="n">
        <f aca="false">L47</f>
        <v>46081</v>
      </c>
      <c r="M53" s="12" t="str">
        <f aca="false">M47</f>
        <v>Include DTHC $400/500
DDF $50/bill
DTHC&amp;DDF PP/CC Available</v>
      </c>
    </row>
    <row r="55" s="31" customFormat="true" ht="15" hidden="false" customHeight="false" outlineLevel="0" collapsed="false">
      <c r="A55" s="36" t="s">
        <v>84</v>
      </c>
    </row>
    <row r="56" s="31" customFormat="true" ht="15" hidden="false" customHeight="false" outlineLevel="0" collapsed="false">
      <c r="A56" s="37" t="s">
        <v>85</v>
      </c>
    </row>
    <row r="57" s="31" customFormat="true" ht="15" hidden="false" customHeight="false" outlineLevel="0" collapsed="false">
      <c r="A57" s="37" t="s">
        <v>86</v>
      </c>
    </row>
    <row r="58" s="31" customFormat="true" ht="13.5" hidden="false" customHeight="false" outlineLevel="0" collapsed="false"/>
    <row r="59" s="31" customFormat="true" ht="22.05" hidden="false" customHeight="false" outlineLevel="0" collapsed="false">
      <c r="L59" s="38" t="s">
        <v>255</v>
      </c>
    </row>
  </sheetData>
  <autoFilter ref="A1:N59"/>
  <mergeCells count="44">
    <mergeCell ref="A1:A5"/>
    <mergeCell ref="C1:D1"/>
    <mergeCell ref="E1:F1"/>
    <mergeCell ref="C2:D2"/>
    <mergeCell ref="E2:F2"/>
    <mergeCell ref="C3:D3"/>
    <mergeCell ref="E3:F3"/>
    <mergeCell ref="C4:D4"/>
    <mergeCell ref="E4:F4"/>
    <mergeCell ref="C5:D5"/>
    <mergeCell ref="E5:F5"/>
    <mergeCell ref="H5:I5"/>
    <mergeCell ref="A7:A11"/>
    <mergeCell ref="C7:D7"/>
    <mergeCell ref="E7:F7"/>
    <mergeCell ref="H11:I11"/>
    <mergeCell ref="A13:A17"/>
    <mergeCell ref="C13:D13"/>
    <mergeCell ref="E13:F13"/>
    <mergeCell ref="H17:I17"/>
    <mergeCell ref="A19:A23"/>
    <mergeCell ref="C19:D19"/>
    <mergeCell ref="E19:F19"/>
    <mergeCell ref="H23:I23"/>
    <mergeCell ref="A25:A29"/>
    <mergeCell ref="C25:D25"/>
    <mergeCell ref="E25:F25"/>
    <mergeCell ref="H29:I29"/>
    <mergeCell ref="A31:A35"/>
    <mergeCell ref="C31:D31"/>
    <mergeCell ref="E31:F31"/>
    <mergeCell ref="H35:I35"/>
    <mergeCell ref="A37:A41"/>
    <mergeCell ref="C37:D37"/>
    <mergeCell ref="E37:F37"/>
    <mergeCell ref="H41:I41"/>
    <mergeCell ref="A43:A47"/>
    <mergeCell ref="C43:D43"/>
    <mergeCell ref="E43:F43"/>
    <mergeCell ref="H47:I47"/>
    <mergeCell ref="A49:A53"/>
    <mergeCell ref="C49:D49"/>
    <mergeCell ref="E49:F49"/>
    <mergeCell ref="H53:I53"/>
  </mergeCells>
  <hyperlinks>
    <hyperlink ref="N2" location="SHEKOU!R9C1" display="Drop off Moscow"/>
    <hyperlink ref="N3" location="SHEKOU!R14C1" display="Drop off Novosibirsk"/>
    <hyperlink ref="N4" location="SHEKOU!R19C1" display="Drop off Ekaterinburg"/>
    <hyperlink ref="N5" location="SHEKOU!R24C1" display="Drop off Krasnoyarsk"/>
    <hyperlink ref="N6" location="SHEKOU!R29C1" display="Drop off St.Petersburg"/>
    <hyperlink ref="N7" location="SHEKOU!R34C1" display="Drop off Irkutsk"/>
    <hyperlink ref="N8" location="SHEKOU!R39C1" display="Drop off Khabarovsk"/>
    <hyperlink ref="N16" location="SHEKOU!R1C1" display="BACK"/>
    <hyperlink ref="N22" location="SHEKOU!R1C1" display="BACK"/>
    <hyperlink ref="N28" location="SHEKOU!R1C1" display="BACK"/>
    <hyperlink ref="N34" location="SHEKOU!R1C1" display="BACK"/>
    <hyperlink ref="N40" location="SHEKOU!R1C1" display="BACK"/>
    <hyperlink ref="N46" location="SHEKOU!R1C1" display="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10"/>
    <col collapsed="false" customWidth="true" hidden="false" outlineLevel="0" max="3" min="3" style="0" width="18.25"/>
    <col collapsed="false" customWidth="true" hidden="false" outlineLevel="0" max="4" min="4" style="0" width="12.13"/>
    <col collapsed="false" customWidth="true" hidden="false" outlineLevel="0" max="5" min="5" style="0" width="10.25"/>
    <col collapsed="false" customWidth="true" hidden="false" outlineLevel="0" max="6" min="6" style="0" width="10.88"/>
    <col collapsed="false" customWidth="true" hidden="false" outlineLevel="0" max="26" min="7" style="0" width="9.63"/>
    <col collapsed="false" customWidth="true" hidden="false" outlineLevel="0" max="27" min="27" style="0" width="16.63"/>
  </cols>
  <sheetData>
    <row r="1" customFormat="false" ht="56" hidden="false" customHeight="true" outlineLevel="0" collapsed="false">
      <c r="A1" s="80" t="s">
        <v>256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 customFormat="false" ht="15.05" hidden="false" customHeight="true" outlineLevel="0" collapsed="false">
      <c r="A2" s="81" t="s">
        <v>257</v>
      </c>
      <c r="B2" s="81" t="s">
        <v>89</v>
      </c>
      <c r="C2" s="82" t="s">
        <v>7</v>
      </c>
      <c r="D2" s="81" t="s">
        <v>258</v>
      </c>
      <c r="E2" s="81" t="s">
        <v>259</v>
      </c>
      <c r="F2" s="81"/>
      <c r="G2" s="81" t="s">
        <v>18</v>
      </c>
      <c r="H2" s="81"/>
      <c r="I2" s="81" t="s">
        <v>20</v>
      </c>
      <c r="J2" s="81"/>
      <c r="K2" s="81" t="s">
        <v>34</v>
      </c>
      <c r="L2" s="81"/>
      <c r="M2" s="81" t="s">
        <v>53</v>
      </c>
      <c r="N2" s="81"/>
      <c r="O2" s="81" t="s">
        <v>26</v>
      </c>
      <c r="P2" s="81"/>
      <c r="Q2" s="81" t="s">
        <v>42</v>
      </c>
      <c r="R2" s="81"/>
      <c r="S2" s="81" t="s">
        <v>28</v>
      </c>
      <c r="T2" s="81"/>
      <c r="U2" s="81" t="s">
        <v>48</v>
      </c>
      <c r="V2" s="81"/>
      <c r="W2" s="81" t="s">
        <v>260</v>
      </c>
      <c r="X2" s="81"/>
      <c r="Y2" s="81" t="s">
        <v>261</v>
      </c>
      <c r="Z2" s="81"/>
      <c r="AA2" s="81" t="s">
        <v>262</v>
      </c>
      <c r="AB2" s="81" t="s">
        <v>10</v>
      </c>
      <c r="AC2" s="81" t="s">
        <v>8</v>
      </c>
    </row>
    <row r="3" customFormat="false" ht="28.9" hidden="false" customHeight="false" outlineLevel="0" collapsed="false">
      <c r="A3" s="81"/>
      <c r="B3" s="81"/>
      <c r="C3" s="82"/>
      <c r="D3" s="81"/>
      <c r="E3" s="81" t="s">
        <v>263</v>
      </c>
      <c r="F3" s="81" t="s">
        <v>264</v>
      </c>
      <c r="G3" s="81" t="s">
        <v>265</v>
      </c>
      <c r="H3" s="81" t="s">
        <v>266</v>
      </c>
      <c r="I3" s="81" t="s">
        <v>265</v>
      </c>
      <c r="J3" s="81" t="s">
        <v>266</v>
      </c>
      <c r="K3" s="81" t="s">
        <v>265</v>
      </c>
      <c r="L3" s="81" t="s">
        <v>267</v>
      </c>
      <c r="M3" s="81" t="s">
        <v>265</v>
      </c>
      <c r="N3" s="81" t="s">
        <v>267</v>
      </c>
      <c r="O3" s="81" t="s">
        <v>265</v>
      </c>
      <c r="P3" s="81" t="s">
        <v>267</v>
      </c>
      <c r="Q3" s="81" t="s">
        <v>265</v>
      </c>
      <c r="R3" s="81" t="s">
        <v>267</v>
      </c>
      <c r="S3" s="81" t="s">
        <v>265</v>
      </c>
      <c r="T3" s="81" t="s">
        <v>267</v>
      </c>
      <c r="U3" s="81" t="s">
        <v>265</v>
      </c>
      <c r="V3" s="81" t="s">
        <v>267</v>
      </c>
      <c r="W3" s="81" t="s">
        <v>265</v>
      </c>
      <c r="X3" s="81" t="s">
        <v>267</v>
      </c>
      <c r="Y3" s="81" t="s">
        <v>265</v>
      </c>
      <c r="Z3" s="81" t="s">
        <v>267</v>
      </c>
      <c r="AA3" s="81"/>
      <c r="AB3" s="81"/>
      <c r="AC3" s="81"/>
    </row>
    <row r="4" customFormat="false" ht="30" hidden="false" customHeight="true" outlineLevel="0" collapsed="false">
      <c r="A4" s="83" t="s">
        <v>268</v>
      </c>
      <c r="B4" s="84" t="s">
        <v>269</v>
      </c>
      <c r="C4" s="84" t="s">
        <v>270</v>
      </c>
      <c r="D4" s="85" t="s">
        <v>271</v>
      </c>
      <c r="E4" s="86" t="n">
        <v>1500</v>
      </c>
      <c r="F4" s="86" t="n">
        <v>2250</v>
      </c>
      <c r="G4" s="86" t="n">
        <v>2200</v>
      </c>
      <c r="H4" s="86" t="n">
        <v>3250</v>
      </c>
      <c r="I4" s="86" t="n">
        <v>2700</v>
      </c>
      <c r="J4" s="86" t="n">
        <v>3850</v>
      </c>
      <c r="K4" s="86" t="n">
        <v>2700</v>
      </c>
      <c r="L4" s="86" t="n">
        <v>3850</v>
      </c>
      <c r="M4" s="86" t="n">
        <v>2700</v>
      </c>
      <c r="N4" s="86" t="n">
        <v>3850</v>
      </c>
      <c r="O4" s="86" t="n">
        <v>2700</v>
      </c>
      <c r="P4" s="86" t="n">
        <v>3850</v>
      </c>
      <c r="Q4" s="86" t="n">
        <v>2700</v>
      </c>
      <c r="R4" s="86" t="n">
        <v>3850</v>
      </c>
      <c r="S4" s="86" t="n">
        <v>2700</v>
      </c>
      <c r="T4" s="86" t="n">
        <v>3850</v>
      </c>
      <c r="U4" s="86" t="n">
        <v>2700</v>
      </c>
      <c r="V4" s="86" t="n">
        <v>3850</v>
      </c>
      <c r="W4" s="86" t="n">
        <v>2700</v>
      </c>
      <c r="X4" s="86" t="n">
        <v>3850</v>
      </c>
      <c r="Y4" s="86" t="n">
        <v>2700</v>
      </c>
      <c r="Z4" s="86" t="n">
        <v>3850</v>
      </c>
      <c r="AA4" s="87" t="s">
        <v>272</v>
      </c>
      <c r="AB4" s="88" t="n">
        <v>46053</v>
      </c>
      <c r="AC4" s="89" t="n">
        <v>25</v>
      </c>
    </row>
    <row r="5" customFormat="false" ht="17" hidden="false" customHeight="true" outlineLevel="0" collapsed="false">
      <c r="A5" s="83" t="s">
        <v>273</v>
      </c>
      <c r="B5" s="84" t="s">
        <v>274</v>
      </c>
      <c r="C5" s="84" t="s">
        <v>275</v>
      </c>
      <c r="D5" s="85"/>
      <c r="E5" s="86" t="n">
        <v>1341</v>
      </c>
      <c r="F5" s="86" t="n">
        <v>1899</v>
      </c>
      <c r="G5" s="86" t="n">
        <v>2041</v>
      </c>
      <c r="H5" s="86" t="n">
        <v>2899</v>
      </c>
      <c r="I5" s="86" t="n">
        <v>2541</v>
      </c>
      <c r="J5" s="86" t="n">
        <v>3499</v>
      </c>
      <c r="K5" s="86" t="n">
        <v>2541</v>
      </c>
      <c r="L5" s="86" t="n">
        <v>3499</v>
      </c>
      <c r="M5" s="86" t="n">
        <v>2541</v>
      </c>
      <c r="N5" s="86" t="n">
        <v>3499</v>
      </c>
      <c r="O5" s="86" t="n">
        <v>2541</v>
      </c>
      <c r="P5" s="86" t="n">
        <v>3499</v>
      </c>
      <c r="Q5" s="86" t="n">
        <v>2541</v>
      </c>
      <c r="R5" s="86" t="n">
        <v>3499</v>
      </c>
      <c r="S5" s="86" t="n">
        <v>2541</v>
      </c>
      <c r="T5" s="86" t="n">
        <v>3499</v>
      </c>
      <c r="U5" s="86" t="n">
        <v>2541</v>
      </c>
      <c r="V5" s="86" t="n">
        <v>3499</v>
      </c>
      <c r="W5" s="86" t="n">
        <v>2541</v>
      </c>
      <c r="X5" s="86" t="n">
        <v>3499</v>
      </c>
      <c r="Y5" s="86" t="n">
        <v>2541</v>
      </c>
      <c r="Z5" s="86" t="n">
        <v>3499</v>
      </c>
      <c r="AA5" s="87"/>
      <c r="AB5" s="88"/>
      <c r="AC5" s="89" t="n">
        <v>12</v>
      </c>
    </row>
    <row r="6" customFormat="false" ht="17" hidden="false" customHeight="true" outlineLevel="0" collapsed="false">
      <c r="A6" s="83"/>
      <c r="B6" s="84" t="s">
        <v>276</v>
      </c>
      <c r="C6" s="84" t="s">
        <v>277</v>
      </c>
      <c r="D6" s="85"/>
      <c r="E6" s="86" t="n">
        <v>1322</v>
      </c>
      <c r="F6" s="86" t="n">
        <v>1874</v>
      </c>
      <c r="G6" s="86" t="n">
        <v>2022</v>
      </c>
      <c r="H6" s="86" t="n">
        <v>2874</v>
      </c>
      <c r="I6" s="86" t="n">
        <v>2522</v>
      </c>
      <c r="J6" s="86" t="n">
        <v>3474</v>
      </c>
      <c r="K6" s="86" t="n">
        <v>2522</v>
      </c>
      <c r="L6" s="86" t="n">
        <v>3474</v>
      </c>
      <c r="M6" s="86" t="n">
        <v>2522</v>
      </c>
      <c r="N6" s="86" t="n">
        <v>3474</v>
      </c>
      <c r="O6" s="86" t="n">
        <v>2522</v>
      </c>
      <c r="P6" s="86" t="n">
        <v>3474</v>
      </c>
      <c r="Q6" s="86" t="n">
        <v>2522</v>
      </c>
      <c r="R6" s="86" t="n">
        <v>3474</v>
      </c>
      <c r="S6" s="86" t="n">
        <v>2522</v>
      </c>
      <c r="T6" s="86" t="n">
        <v>3474</v>
      </c>
      <c r="U6" s="86" t="n">
        <v>2522</v>
      </c>
      <c r="V6" s="86" t="n">
        <v>3474</v>
      </c>
      <c r="W6" s="86" t="n">
        <v>2522</v>
      </c>
      <c r="X6" s="86" t="n">
        <v>3474</v>
      </c>
      <c r="Y6" s="86" t="n">
        <v>2522</v>
      </c>
      <c r="Z6" s="86" t="n">
        <v>3474</v>
      </c>
      <c r="AA6" s="87"/>
      <c r="AB6" s="88"/>
      <c r="AC6" s="89" t="n">
        <v>10</v>
      </c>
    </row>
    <row r="7" customFormat="false" ht="17" hidden="false" customHeight="true" outlineLevel="0" collapsed="false">
      <c r="A7" s="83"/>
      <c r="B7" s="84" t="s">
        <v>278</v>
      </c>
      <c r="C7" s="84" t="s">
        <v>275</v>
      </c>
      <c r="D7" s="85"/>
      <c r="E7" s="86" t="n">
        <v>1341</v>
      </c>
      <c r="F7" s="86" t="n">
        <v>1896</v>
      </c>
      <c r="G7" s="86" t="n">
        <v>2041</v>
      </c>
      <c r="H7" s="86" t="n">
        <v>2896</v>
      </c>
      <c r="I7" s="86" t="n">
        <v>2541</v>
      </c>
      <c r="J7" s="86" t="n">
        <v>3496</v>
      </c>
      <c r="K7" s="86" t="n">
        <v>2541</v>
      </c>
      <c r="L7" s="86" t="n">
        <v>3496</v>
      </c>
      <c r="M7" s="86" t="n">
        <v>2541</v>
      </c>
      <c r="N7" s="86" t="n">
        <v>3496</v>
      </c>
      <c r="O7" s="86" t="n">
        <v>2541</v>
      </c>
      <c r="P7" s="86" t="n">
        <v>3496</v>
      </c>
      <c r="Q7" s="86" t="n">
        <v>2541</v>
      </c>
      <c r="R7" s="86" t="n">
        <v>3496</v>
      </c>
      <c r="S7" s="86" t="n">
        <v>2541</v>
      </c>
      <c r="T7" s="86" t="n">
        <v>3496</v>
      </c>
      <c r="U7" s="86" t="n">
        <v>2541</v>
      </c>
      <c r="V7" s="86" t="n">
        <v>3496</v>
      </c>
      <c r="W7" s="86" t="n">
        <v>2541</v>
      </c>
      <c r="X7" s="86" t="n">
        <v>3496</v>
      </c>
      <c r="Y7" s="86" t="n">
        <v>2541</v>
      </c>
      <c r="Z7" s="86" t="n">
        <v>3496</v>
      </c>
      <c r="AA7" s="87"/>
      <c r="AB7" s="88"/>
      <c r="AC7" s="89" t="n">
        <v>15</v>
      </c>
    </row>
    <row r="8" customFormat="false" ht="17" hidden="false" customHeight="true" outlineLevel="0" collapsed="false">
      <c r="A8" s="83"/>
      <c r="B8" s="84" t="s">
        <v>279</v>
      </c>
      <c r="C8" s="84" t="s">
        <v>280</v>
      </c>
      <c r="D8" s="85"/>
      <c r="E8" s="86" t="n">
        <v>1357</v>
      </c>
      <c r="F8" s="86" t="n">
        <v>1942</v>
      </c>
      <c r="G8" s="86" t="n">
        <v>2057</v>
      </c>
      <c r="H8" s="86" t="n">
        <v>2942</v>
      </c>
      <c r="I8" s="86" t="n">
        <v>2557</v>
      </c>
      <c r="J8" s="86" t="n">
        <v>3542</v>
      </c>
      <c r="K8" s="86" t="n">
        <v>2557</v>
      </c>
      <c r="L8" s="86" t="n">
        <v>3542</v>
      </c>
      <c r="M8" s="86" t="n">
        <v>2557</v>
      </c>
      <c r="N8" s="86" t="n">
        <v>3542</v>
      </c>
      <c r="O8" s="86" t="n">
        <v>2557</v>
      </c>
      <c r="P8" s="86" t="n">
        <v>3542</v>
      </c>
      <c r="Q8" s="86" t="n">
        <v>2557</v>
      </c>
      <c r="R8" s="86" t="n">
        <v>3542</v>
      </c>
      <c r="S8" s="86" t="n">
        <v>2557</v>
      </c>
      <c r="T8" s="86" t="n">
        <v>3542</v>
      </c>
      <c r="U8" s="86" t="n">
        <v>2557</v>
      </c>
      <c r="V8" s="86" t="n">
        <v>3542</v>
      </c>
      <c r="W8" s="86" t="n">
        <v>2557</v>
      </c>
      <c r="X8" s="86" t="n">
        <v>3542</v>
      </c>
      <c r="Y8" s="86" t="n">
        <v>2557</v>
      </c>
      <c r="Z8" s="86" t="n">
        <v>3542</v>
      </c>
      <c r="AA8" s="87"/>
      <c r="AB8" s="88"/>
      <c r="AC8" s="89" t="n">
        <v>20</v>
      </c>
    </row>
    <row r="9" customFormat="false" ht="17" hidden="false" customHeight="true" outlineLevel="0" collapsed="false">
      <c r="A9" s="83"/>
      <c r="B9" s="84" t="s">
        <v>281</v>
      </c>
      <c r="C9" s="84" t="s">
        <v>282</v>
      </c>
      <c r="D9" s="85"/>
      <c r="E9" s="86" t="n">
        <v>1351</v>
      </c>
      <c r="F9" s="86" t="n">
        <v>1897</v>
      </c>
      <c r="G9" s="86" t="n">
        <v>2051</v>
      </c>
      <c r="H9" s="86" t="n">
        <v>2897</v>
      </c>
      <c r="I9" s="86" t="n">
        <v>2551</v>
      </c>
      <c r="J9" s="86" t="n">
        <v>3497</v>
      </c>
      <c r="K9" s="86" t="n">
        <v>2551</v>
      </c>
      <c r="L9" s="86" t="n">
        <v>3497</v>
      </c>
      <c r="M9" s="86" t="n">
        <v>2551</v>
      </c>
      <c r="N9" s="86" t="n">
        <v>3497</v>
      </c>
      <c r="O9" s="86" t="n">
        <v>2551</v>
      </c>
      <c r="P9" s="86" t="n">
        <v>3497</v>
      </c>
      <c r="Q9" s="86" t="n">
        <v>2551</v>
      </c>
      <c r="R9" s="86" t="n">
        <v>3497</v>
      </c>
      <c r="S9" s="86" t="n">
        <v>2551</v>
      </c>
      <c r="T9" s="86" t="n">
        <v>3497</v>
      </c>
      <c r="U9" s="86" t="n">
        <v>2551</v>
      </c>
      <c r="V9" s="86" t="n">
        <v>3497</v>
      </c>
      <c r="W9" s="86" t="n">
        <v>2551</v>
      </c>
      <c r="X9" s="86" t="n">
        <v>3497</v>
      </c>
      <c r="Y9" s="86" t="n">
        <v>2551</v>
      </c>
      <c r="Z9" s="86" t="n">
        <v>3497</v>
      </c>
      <c r="AA9" s="87"/>
      <c r="AB9" s="88"/>
      <c r="AC9" s="89" t="n">
        <v>10</v>
      </c>
    </row>
    <row r="10" customFormat="false" ht="17" hidden="false" customHeight="true" outlineLevel="0" collapsed="false">
      <c r="A10" s="83" t="s">
        <v>283</v>
      </c>
      <c r="B10" s="84" t="s">
        <v>284</v>
      </c>
      <c r="C10" s="84" t="s">
        <v>285</v>
      </c>
      <c r="D10" s="85"/>
      <c r="E10" s="86" t="n">
        <v>1323</v>
      </c>
      <c r="F10" s="86" t="n">
        <v>1869</v>
      </c>
      <c r="G10" s="86" t="n">
        <v>2023</v>
      </c>
      <c r="H10" s="86" t="n">
        <v>2869</v>
      </c>
      <c r="I10" s="86" t="n">
        <v>2523</v>
      </c>
      <c r="J10" s="86" t="n">
        <v>3469</v>
      </c>
      <c r="K10" s="86" t="n">
        <v>2523</v>
      </c>
      <c r="L10" s="86" t="n">
        <v>3469</v>
      </c>
      <c r="M10" s="86" t="n">
        <v>2523</v>
      </c>
      <c r="N10" s="86" t="n">
        <v>3469</v>
      </c>
      <c r="O10" s="86" t="n">
        <v>2523</v>
      </c>
      <c r="P10" s="86" t="n">
        <v>3469</v>
      </c>
      <c r="Q10" s="86" t="n">
        <v>2523</v>
      </c>
      <c r="R10" s="86" t="n">
        <v>3469</v>
      </c>
      <c r="S10" s="86" t="n">
        <v>2523</v>
      </c>
      <c r="T10" s="86" t="n">
        <v>3469</v>
      </c>
      <c r="U10" s="86" t="n">
        <v>2523</v>
      </c>
      <c r="V10" s="86" t="n">
        <v>3469</v>
      </c>
      <c r="W10" s="86" t="n">
        <v>2523</v>
      </c>
      <c r="X10" s="86" t="n">
        <v>3469</v>
      </c>
      <c r="Y10" s="86" t="n">
        <v>2523</v>
      </c>
      <c r="Z10" s="86" t="n">
        <v>3469</v>
      </c>
      <c r="AA10" s="87"/>
      <c r="AB10" s="88"/>
      <c r="AC10" s="89" t="n">
        <v>8</v>
      </c>
    </row>
    <row r="11" customFormat="false" ht="17" hidden="false" customHeight="true" outlineLevel="0" collapsed="false">
      <c r="A11" s="83"/>
      <c r="B11" s="84" t="s">
        <v>286</v>
      </c>
      <c r="C11" s="84" t="s">
        <v>201</v>
      </c>
      <c r="D11" s="85"/>
      <c r="E11" s="86" t="n">
        <v>1386</v>
      </c>
      <c r="F11" s="86" t="n">
        <v>1979</v>
      </c>
      <c r="G11" s="86" t="n">
        <v>2086</v>
      </c>
      <c r="H11" s="86" t="n">
        <v>2979</v>
      </c>
      <c r="I11" s="86" t="n">
        <v>2586</v>
      </c>
      <c r="J11" s="86" t="n">
        <v>3579</v>
      </c>
      <c r="K11" s="86" t="n">
        <v>2586</v>
      </c>
      <c r="L11" s="86" t="n">
        <v>3579</v>
      </c>
      <c r="M11" s="86" t="n">
        <v>2586</v>
      </c>
      <c r="N11" s="86" t="n">
        <v>3579</v>
      </c>
      <c r="O11" s="86" t="n">
        <v>2586</v>
      </c>
      <c r="P11" s="86" t="n">
        <v>3579</v>
      </c>
      <c r="Q11" s="86" t="n">
        <v>2586</v>
      </c>
      <c r="R11" s="86" t="n">
        <v>3579</v>
      </c>
      <c r="S11" s="86" t="n">
        <v>2586</v>
      </c>
      <c r="T11" s="86" t="n">
        <v>3579</v>
      </c>
      <c r="U11" s="86" t="n">
        <v>2586</v>
      </c>
      <c r="V11" s="86" t="n">
        <v>3579</v>
      </c>
      <c r="W11" s="86" t="n">
        <v>2586</v>
      </c>
      <c r="X11" s="86" t="n">
        <v>3579</v>
      </c>
      <c r="Y11" s="86" t="n">
        <v>2586</v>
      </c>
      <c r="Z11" s="86" t="n">
        <v>3579</v>
      </c>
      <c r="AA11" s="87"/>
      <c r="AB11" s="88"/>
      <c r="AC11" s="89" t="n">
        <v>9</v>
      </c>
    </row>
    <row r="12" customFormat="false" ht="17" hidden="false" customHeight="true" outlineLevel="0" collapsed="false">
      <c r="A12" s="83"/>
      <c r="B12" s="84" t="s">
        <v>287</v>
      </c>
      <c r="C12" s="84" t="s">
        <v>288</v>
      </c>
      <c r="D12" s="85"/>
      <c r="E12" s="86" t="n">
        <v>1323</v>
      </c>
      <c r="F12" s="86" t="n">
        <v>1869</v>
      </c>
      <c r="G12" s="86" t="n">
        <v>2023</v>
      </c>
      <c r="H12" s="86" t="n">
        <v>2869</v>
      </c>
      <c r="I12" s="86" t="n">
        <v>2523</v>
      </c>
      <c r="J12" s="86" t="n">
        <v>3469</v>
      </c>
      <c r="K12" s="86" t="n">
        <v>2523</v>
      </c>
      <c r="L12" s="86" t="n">
        <v>3469</v>
      </c>
      <c r="M12" s="86" t="n">
        <v>2523</v>
      </c>
      <c r="N12" s="86" t="n">
        <v>3469</v>
      </c>
      <c r="O12" s="86" t="n">
        <v>2523</v>
      </c>
      <c r="P12" s="86" t="n">
        <v>3469</v>
      </c>
      <c r="Q12" s="86" t="n">
        <v>2523</v>
      </c>
      <c r="R12" s="86" t="n">
        <v>3469</v>
      </c>
      <c r="S12" s="86" t="n">
        <v>2523</v>
      </c>
      <c r="T12" s="86" t="n">
        <v>3469</v>
      </c>
      <c r="U12" s="86" t="n">
        <v>2523</v>
      </c>
      <c r="V12" s="86" t="n">
        <v>3469</v>
      </c>
      <c r="W12" s="86" t="n">
        <v>2523</v>
      </c>
      <c r="X12" s="86" t="n">
        <v>3469</v>
      </c>
      <c r="Y12" s="86" t="n">
        <v>2523</v>
      </c>
      <c r="Z12" s="86" t="n">
        <v>3469</v>
      </c>
      <c r="AA12" s="87"/>
      <c r="AB12" s="88"/>
      <c r="AC12" s="89" t="n">
        <v>7</v>
      </c>
    </row>
    <row r="13" customFormat="false" ht="17" hidden="false" customHeight="true" outlineLevel="0" collapsed="false">
      <c r="A13" s="83"/>
      <c r="B13" s="84" t="s">
        <v>289</v>
      </c>
      <c r="C13" s="84" t="s">
        <v>290</v>
      </c>
      <c r="D13" s="85"/>
      <c r="E13" s="86" t="n">
        <v>1323</v>
      </c>
      <c r="F13" s="86" t="n">
        <v>1869</v>
      </c>
      <c r="G13" s="86" t="n">
        <v>2023</v>
      </c>
      <c r="H13" s="86" t="n">
        <v>2869</v>
      </c>
      <c r="I13" s="86" t="n">
        <v>2523</v>
      </c>
      <c r="J13" s="86" t="n">
        <v>3469</v>
      </c>
      <c r="K13" s="86" t="n">
        <v>2523</v>
      </c>
      <c r="L13" s="86" t="n">
        <v>3469</v>
      </c>
      <c r="M13" s="86" t="n">
        <v>2523</v>
      </c>
      <c r="N13" s="86" t="n">
        <v>3469</v>
      </c>
      <c r="O13" s="86" t="n">
        <v>2523</v>
      </c>
      <c r="P13" s="86" t="n">
        <v>3469</v>
      </c>
      <c r="Q13" s="86" t="n">
        <v>2523</v>
      </c>
      <c r="R13" s="86" t="n">
        <v>3469</v>
      </c>
      <c r="S13" s="86" t="n">
        <v>2523</v>
      </c>
      <c r="T13" s="86" t="n">
        <v>3469</v>
      </c>
      <c r="U13" s="86" t="n">
        <v>2523</v>
      </c>
      <c r="V13" s="86" t="n">
        <v>3469</v>
      </c>
      <c r="W13" s="86" t="n">
        <v>2523</v>
      </c>
      <c r="X13" s="86" t="n">
        <v>3469</v>
      </c>
      <c r="Y13" s="86" t="n">
        <v>2523</v>
      </c>
      <c r="Z13" s="86" t="n">
        <v>3469</v>
      </c>
      <c r="AA13" s="87"/>
      <c r="AB13" s="88"/>
      <c r="AC13" s="89" t="n">
        <v>7</v>
      </c>
    </row>
    <row r="14" customFormat="false" ht="17" hidden="false" customHeight="true" outlineLevel="0" collapsed="false">
      <c r="A14" s="83"/>
      <c r="B14" s="84" t="s">
        <v>291</v>
      </c>
      <c r="C14" s="84" t="s">
        <v>285</v>
      </c>
      <c r="D14" s="85"/>
      <c r="E14" s="86" t="n">
        <v>1323</v>
      </c>
      <c r="F14" s="86" t="n">
        <v>1869</v>
      </c>
      <c r="G14" s="86" t="n">
        <v>2023</v>
      </c>
      <c r="H14" s="86" t="n">
        <v>2869</v>
      </c>
      <c r="I14" s="86" t="n">
        <v>2523</v>
      </c>
      <c r="J14" s="86" t="n">
        <v>3469</v>
      </c>
      <c r="K14" s="86" t="n">
        <v>2523</v>
      </c>
      <c r="L14" s="86" t="n">
        <v>3469</v>
      </c>
      <c r="M14" s="86" t="n">
        <v>2523</v>
      </c>
      <c r="N14" s="86" t="n">
        <v>3469</v>
      </c>
      <c r="O14" s="86" t="n">
        <v>2523</v>
      </c>
      <c r="P14" s="86" t="n">
        <v>3469</v>
      </c>
      <c r="Q14" s="86" t="n">
        <v>2523</v>
      </c>
      <c r="R14" s="86" t="n">
        <v>3469</v>
      </c>
      <c r="S14" s="86" t="n">
        <v>2523</v>
      </c>
      <c r="T14" s="86" t="n">
        <v>3469</v>
      </c>
      <c r="U14" s="86" t="n">
        <v>2523</v>
      </c>
      <c r="V14" s="86" t="n">
        <v>3469</v>
      </c>
      <c r="W14" s="86" t="n">
        <v>2523</v>
      </c>
      <c r="X14" s="86" t="n">
        <v>3469</v>
      </c>
      <c r="Y14" s="86" t="n">
        <v>2523</v>
      </c>
      <c r="Z14" s="86" t="n">
        <v>3469</v>
      </c>
      <c r="AA14" s="87"/>
      <c r="AB14" s="88"/>
      <c r="AC14" s="89" t="n">
        <v>7</v>
      </c>
    </row>
    <row r="15" customFormat="false" ht="17" hidden="false" customHeight="true" outlineLevel="0" collapsed="false">
      <c r="A15" s="83"/>
      <c r="B15" s="84" t="s">
        <v>292</v>
      </c>
      <c r="C15" s="84" t="s">
        <v>275</v>
      </c>
      <c r="D15" s="85"/>
      <c r="E15" s="86" t="n">
        <v>1323</v>
      </c>
      <c r="F15" s="86" t="n">
        <v>1869</v>
      </c>
      <c r="G15" s="86" t="n">
        <v>2023</v>
      </c>
      <c r="H15" s="86" t="n">
        <v>2869</v>
      </c>
      <c r="I15" s="86" t="n">
        <v>2523</v>
      </c>
      <c r="J15" s="86" t="n">
        <v>3469</v>
      </c>
      <c r="K15" s="86" t="n">
        <v>2523</v>
      </c>
      <c r="L15" s="86" t="n">
        <v>3469</v>
      </c>
      <c r="M15" s="86" t="n">
        <v>2523</v>
      </c>
      <c r="N15" s="86" t="n">
        <v>3469</v>
      </c>
      <c r="O15" s="86" t="n">
        <v>2523</v>
      </c>
      <c r="P15" s="86" t="n">
        <v>3469</v>
      </c>
      <c r="Q15" s="86" t="n">
        <v>2523</v>
      </c>
      <c r="R15" s="86" t="n">
        <v>3469</v>
      </c>
      <c r="S15" s="86" t="n">
        <v>2523</v>
      </c>
      <c r="T15" s="86" t="n">
        <v>3469</v>
      </c>
      <c r="U15" s="86" t="n">
        <v>2523</v>
      </c>
      <c r="V15" s="86" t="n">
        <v>3469</v>
      </c>
      <c r="W15" s="86" t="n">
        <v>2523</v>
      </c>
      <c r="X15" s="86" t="n">
        <v>3469</v>
      </c>
      <c r="Y15" s="86" t="n">
        <v>2523</v>
      </c>
      <c r="Z15" s="86" t="n">
        <v>3469</v>
      </c>
      <c r="AA15" s="87"/>
      <c r="AB15" s="88"/>
      <c r="AC15" s="89" t="n">
        <v>6</v>
      </c>
    </row>
    <row r="16" customFormat="false" ht="17" hidden="false" customHeight="true" outlineLevel="0" collapsed="false">
      <c r="A16" s="83"/>
      <c r="B16" s="84" t="s">
        <v>293</v>
      </c>
      <c r="C16" s="84" t="s">
        <v>294</v>
      </c>
      <c r="D16" s="85"/>
      <c r="E16" s="86" t="n">
        <v>1310</v>
      </c>
      <c r="F16" s="86" t="n">
        <v>1842</v>
      </c>
      <c r="G16" s="86" t="n">
        <v>2010</v>
      </c>
      <c r="H16" s="86" t="n">
        <v>2842</v>
      </c>
      <c r="I16" s="86" t="n">
        <v>2510</v>
      </c>
      <c r="J16" s="86" t="n">
        <v>3442</v>
      </c>
      <c r="K16" s="86" t="n">
        <v>2510</v>
      </c>
      <c r="L16" s="86" t="n">
        <v>3442</v>
      </c>
      <c r="M16" s="86" t="n">
        <v>2510</v>
      </c>
      <c r="N16" s="86" t="n">
        <v>3442</v>
      </c>
      <c r="O16" s="86" t="n">
        <v>2510</v>
      </c>
      <c r="P16" s="86" t="n">
        <v>3442</v>
      </c>
      <c r="Q16" s="86" t="n">
        <v>2510</v>
      </c>
      <c r="R16" s="86" t="n">
        <v>3442</v>
      </c>
      <c r="S16" s="86" t="n">
        <v>2510</v>
      </c>
      <c r="T16" s="86" t="n">
        <v>3442</v>
      </c>
      <c r="U16" s="86" t="n">
        <v>2510</v>
      </c>
      <c r="V16" s="86" t="n">
        <v>3442</v>
      </c>
      <c r="W16" s="86" t="n">
        <v>2510</v>
      </c>
      <c r="X16" s="86" t="n">
        <v>3442</v>
      </c>
      <c r="Y16" s="86" t="n">
        <v>2510</v>
      </c>
      <c r="Z16" s="86" t="n">
        <v>3442</v>
      </c>
      <c r="AA16" s="87"/>
      <c r="AB16" s="88"/>
      <c r="AC16" s="89" t="n">
        <v>7</v>
      </c>
    </row>
    <row r="17" customFormat="false" ht="17" hidden="false" customHeight="true" outlineLevel="0" collapsed="false">
      <c r="A17" s="83"/>
      <c r="B17" s="84" t="s">
        <v>295</v>
      </c>
      <c r="C17" s="84" t="s">
        <v>275</v>
      </c>
      <c r="D17" s="85"/>
      <c r="E17" s="86" t="n">
        <v>1323</v>
      </c>
      <c r="F17" s="86" t="n">
        <v>1869</v>
      </c>
      <c r="G17" s="86" t="n">
        <v>2023</v>
      </c>
      <c r="H17" s="86" t="n">
        <v>2869</v>
      </c>
      <c r="I17" s="86" t="n">
        <v>2523</v>
      </c>
      <c r="J17" s="86" t="n">
        <v>3469</v>
      </c>
      <c r="K17" s="86" t="n">
        <v>2523</v>
      </c>
      <c r="L17" s="86" t="n">
        <v>3469</v>
      </c>
      <c r="M17" s="86" t="n">
        <v>2523</v>
      </c>
      <c r="N17" s="86" t="n">
        <v>3469</v>
      </c>
      <c r="O17" s="86" t="n">
        <v>2523</v>
      </c>
      <c r="P17" s="86" t="n">
        <v>3469</v>
      </c>
      <c r="Q17" s="86" t="n">
        <v>2523</v>
      </c>
      <c r="R17" s="86" t="n">
        <v>3469</v>
      </c>
      <c r="S17" s="86" t="n">
        <v>2523</v>
      </c>
      <c r="T17" s="86" t="n">
        <v>3469</v>
      </c>
      <c r="U17" s="86" t="n">
        <v>2523</v>
      </c>
      <c r="V17" s="86" t="n">
        <v>3469</v>
      </c>
      <c r="W17" s="86" t="n">
        <v>2523</v>
      </c>
      <c r="X17" s="86" t="n">
        <v>3469</v>
      </c>
      <c r="Y17" s="86" t="n">
        <v>2523</v>
      </c>
      <c r="Z17" s="86" t="n">
        <v>3469</v>
      </c>
      <c r="AA17" s="87"/>
      <c r="AB17" s="88"/>
      <c r="AC17" s="89" t="n">
        <v>7</v>
      </c>
    </row>
    <row r="18" customFormat="false" ht="17" hidden="false" customHeight="true" outlineLevel="0" collapsed="false">
      <c r="A18" s="83"/>
      <c r="B18" s="84" t="s">
        <v>296</v>
      </c>
      <c r="C18" s="84" t="s">
        <v>294</v>
      </c>
      <c r="D18" s="85"/>
      <c r="E18" s="86" t="n">
        <v>1310</v>
      </c>
      <c r="F18" s="86" t="n">
        <v>1869</v>
      </c>
      <c r="G18" s="86" t="n">
        <v>2010</v>
      </c>
      <c r="H18" s="86" t="n">
        <v>2869</v>
      </c>
      <c r="I18" s="86" t="n">
        <v>2510</v>
      </c>
      <c r="J18" s="86" t="n">
        <v>3469</v>
      </c>
      <c r="K18" s="86" t="n">
        <v>2510</v>
      </c>
      <c r="L18" s="86" t="n">
        <v>3469</v>
      </c>
      <c r="M18" s="86" t="n">
        <v>2510</v>
      </c>
      <c r="N18" s="86" t="n">
        <v>3469</v>
      </c>
      <c r="O18" s="86" t="n">
        <v>2510</v>
      </c>
      <c r="P18" s="86" t="n">
        <v>3469</v>
      </c>
      <c r="Q18" s="86" t="n">
        <v>2510</v>
      </c>
      <c r="R18" s="86" t="n">
        <v>3469</v>
      </c>
      <c r="S18" s="86" t="n">
        <v>2510</v>
      </c>
      <c r="T18" s="86" t="n">
        <v>3469</v>
      </c>
      <c r="U18" s="86" t="n">
        <v>2510</v>
      </c>
      <c r="V18" s="86" t="n">
        <v>3469</v>
      </c>
      <c r="W18" s="86" t="n">
        <v>2510</v>
      </c>
      <c r="X18" s="86" t="n">
        <v>3469</v>
      </c>
      <c r="Y18" s="86" t="n">
        <v>2510</v>
      </c>
      <c r="Z18" s="86" t="n">
        <v>3469</v>
      </c>
      <c r="AA18" s="87"/>
      <c r="AB18" s="88"/>
      <c r="AC18" s="89" t="n">
        <v>6</v>
      </c>
    </row>
    <row r="19" customFormat="false" ht="17" hidden="false" customHeight="true" outlineLevel="0" collapsed="false">
      <c r="A19" s="83"/>
      <c r="B19" s="84" t="s">
        <v>297</v>
      </c>
      <c r="C19" s="84" t="s">
        <v>298</v>
      </c>
      <c r="D19" s="85"/>
      <c r="E19" s="86" t="n">
        <v>1310</v>
      </c>
      <c r="F19" s="86" t="n">
        <v>1869</v>
      </c>
      <c r="G19" s="86" t="n">
        <v>2010</v>
      </c>
      <c r="H19" s="86" t="n">
        <v>2869</v>
      </c>
      <c r="I19" s="86" t="n">
        <v>2510</v>
      </c>
      <c r="J19" s="86" t="n">
        <v>3469</v>
      </c>
      <c r="K19" s="86" t="n">
        <v>2510</v>
      </c>
      <c r="L19" s="86" t="n">
        <v>3469</v>
      </c>
      <c r="M19" s="86" t="n">
        <v>2510</v>
      </c>
      <c r="N19" s="86" t="n">
        <v>3469</v>
      </c>
      <c r="O19" s="86" t="n">
        <v>2510</v>
      </c>
      <c r="P19" s="86" t="n">
        <v>3469</v>
      </c>
      <c r="Q19" s="86" t="n">
        <v>2510</v>
      </c>
      <c r="R19" s="86" t="n">
        <v>3469</v>
      </c>
      <c r="S19" s="86" t="n">
        <v>2510</v>
      </c>
      <c r="T19" s="86" t="n">
        <v>3469</v>
      </c>
      <c r="U19" s="86" t="n">
        <v>2510</v>
      </c>
      <c r="V19" s="86" t="n">
        <v>3469</v>
      </c>
      <c r="W19" s="86" t="n">
        <v>2510</v>
      </c>
      <c r="X19" s="86" t="n">
        <v>3469</v>
      </c>
      <c r="Y19" s="86" t="n">
        <v>2510</v>
      </c>
      <c r="Z19" s="86" t="n">
        <v>3469</v>
      </c>
      <c r="AA19" s="87"/>
      <c r="AB19" s="88"/>
      <c r="AC19" s="89" t="n">
        <v>6</v>
      </c>
    </row>
    <row r="20" customFormat="false" ht="17" hidden="false" customHeight="true" outlineLevel="0" collapsed="false">
      <c r="A20" s="83"/>
      <c r="B20" s="84" t="s">
        <v>299</v>
      </c>
      <c r="C20" s="84" t="s">
        <v>275</v>
      </c>
      <c r="D20" s="85"/>
      <c r="E20" s="86" t="n">
        <v>1351</v>
      </c>
      <c r="F20" s="86" t="n">
        <v>1924</v>
      </c>
      <c r="G20" s="86" t="n">
        <v>2051</v>
      </c>
      <c r="H20" s="86" t="n">
        <v>2924</v>
      </c>
      <c r="I20" s="86" t="n">
        <v>2551</v>
      </c>
      <c r="J20" s="86" t="n">
        <v>3524</v>
      </c>
      <c r="K20" s="86" t="n">
        <v>2551</v>
      </c>
      <c r="L20" s="86" t="n">
        <v>3524</v>
      </c>
      <c r="M20" s="86" t="n">
        <v>2551</v>
      </c>
      <c r="N20" s="86" t="n">
        <v>3524</v>
      </c>
      <c r="O20" s="86" t="n">
        <v>2551</v>
      </c>
      <c r="P20" s="86" t="n">
        <v>3524</v>
      </c>
      <c r="Q20" s="86" t="n">
        <v>2551</v>
      </c>
      <c r="R20" s="86" t="n">
        <v>3524</v>
      </c>
      <c r="S20" s="86" t="n">
        <v>2551</v>
      </c>
      <c r="T20" s="86" t="n">
        <v>3524</v>
      </c>
      <c r="U20" s="86" t="n">
        <v>2551</v>
      </c>
      <c r="V20" s="86" t="n">
        <v>3524</v>
      </c>
      <c r="W20" s="86" t="n">
        <v>2551</v>
      </c>
      <c r="X20" s="86" t="n">
        <v>3524</v>
      </c>
      <c r="Y20" s="86" t="n">
        <v>2551</v>
      </c>
      <c r="Z20" s="86" t="n">
        <v>3524</v>
      </c>
      <c r="AA20" s="87"/>
      <c r="AB20" s="88"/>
      <c r="AC20" s="89" t="n">
        <v>10</v>
      </c>
    </row>
    <row r="21" customFormat="false" ht="17" hidden="false" customHeight="true" outlineLevel="0" collapsed="false">
      <c r="A21" s="87" t="s">
        <v>300</v>
      </c>
      <c r="B21" s="84" t="s">
        <v>301</v>
      </c>
      <c r="C21" s="84" t="s">
        <v>302</v>
      </c>
      <c r="D21" s="85"/>
      <c r="E21" s="86" t="n">
        <v>1420</v>
      </c>
      <c r="F21" s="86" t="n">
        <v>2040</v>
      </c>
      <c r="G21" s="86" t="n">
        <v>2120</v>
      </c>
      <c r="H21" s="86" t="n">
        <v>3040</v>
      </c>
      <c r="I21" s="86" t="n">
        <v>2620</v>
      </c>
      <c r="J21" s="86" t="n">
        <v>3640</v>
      </c>
      <c r="K21" s="86" t="n">
        <v>2620</v>
      </c>
      <c r="L21" s="86" t="n">
        <v>3640</v>
      </c>
      <c r="M21" s="86" t="n">
        <v>2620</v>
      </c>
      <c r="N21" s="86" t="n">
        <v>3640</v>
      </c>
      <c r="O21" s="86" t="n">
        <v>2620</v>
      </c>
      <c r="P21" s="86" t="n">
        <v>3640</v>
      </c>
      <c r="Q21" s="86" t="n">
        <v>2620</v>
      </c>
      <c r="R21" s="86" t="n">
        <v>3640</v>
      </c>
      <c r="S21" s="86" t="n">
        <v>2620</v>
      </c>
      <c r="T21" s="86" t="n">
        <v>3640</v>
      </c>
      <c r="U21" s="86" t="n">
        <v>2620</v>
      </c>
      <c r="V21" s="86" t="n">
        <v>3640</v>
      </c>
      <c r="W21" s="86" t="n">
        <v>2620</v>
      </c>
      <c r="X21" s="86" t="n">
        <v>3640</v>
      </c>
      <c r="Y21" s="86" t="n">
        <v>2620</v>
      </c>
      <c r="Z21" s="86" t="n">
        <v>3640</v>
      </c>
      <c r="AA21" s="87"/>
      <c r="AB21" s="88"/>
      <c r="AC21" s="89" t="n">
        <v>8</v>
      </c>
    </row>
    <row r="22" customFormat="false" ht="17" hidden="false" customHeight="true" outlineLevel="0" collapsed="false">
      <c r="A22" s="87"/>
      <c r="B22" s="84" t="s">
        <v>303</v>
      </c>
      <c r="C22" s="84" t="s">
        <v>304</v>
      </c>
      <c r="D22" s="85"/>
      <c r="E22" s="86" t="n">
        <v>1372</v>
      </c>
      <c r="F22" s="86" t="n">
        <v>1950</v>
      </c>
      <c r="G22" s="86" t="n">
        <v>2072</v>
      </c>
      <c r="H22" s="86" t="n">
        <v>2950</v>
      </c>
      <c r="I22" s="86" t="n">
        <v>2572</v>
      </c>
      <c r="J22" s="86" t="n">
        <v>3550</v>
      </c>
      <c r="K22" s="86" t="n">
        <v>2572</v>
      </c>
      <c r="L22" s="86" t="n">
        <v>3550</v>
      </c>
      <c r="M22" s="86" t="n">
        <v>2572</v>
      </c>
      <c r="N22" s="86" t="n">
        <v>3550</v>
      </c>
      <c r="O22" s="86" t="n">
        <v>2572</v>
      </c>
      <c r="P22" s="86" t="n">
        <v>3550</v>
      </c>
      <c r="Q22" s="86" t="n">
        <v>2572</v>
      </c>
      <c r="R22" s="86" t="n">
        <v>3550</v>
      </c>
      <c r="S22" s="86" t="n">
        <v>2572</v>
      </c>
      <c r="T22" s="86" t="n">
        <v>3550</v>
      </c>
      <c r="U22" s="86" t="n">
        <v>2572</v>
      </c>
      <c r="V22" s="86" t="n">
        <v>3550</v>
      </c>
      <c r="W22" s="86" t="n">
        <v>2572</v>
      </c>
      <c r="X22" s="86" t="n">
        <v>3550</v>
      </c>
      <c r="Y22" s="86" t="n">
        <v>2572</v>
      </c>
      <c r="Z22" s="86" t="n">
        <v>3550</v>
      </c>
      <c r="AA22" s="87"/>
      <c r="AB22" s="88"/>
      <c r="AC22" s="89" t="n">
        <v>11</v>
      </c>
    </row>
    <row r="24" customFormat="false" ht="22.05" hidden="false" customHeight="false" outlineLevel="0" collapsed="false">
      <c r="AA24" s="38" t="s">
        <v>305</v>
      </c>
    </row>
  </sheetData>
  <mergeCells count="25">
    <mergeCell ref="A1:AC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A3"/>
    <mergeCell ref="AB2:AB3"/>
    <mergeCell ref="AC2:AC3"/>
    <mergeCell ref="D4:D22"/>
    <mergeCell ref="AA4:AA22"/>
    <mergeCell ref="AB4:AB22"/>
    <mergeCell ref="A5:A9"/>
    <mergeCell ref="A10:A20"/>
    <mergeCell ref="A21:A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>
    <row r="1" customFormat="false" ht="47" hidden="false" customHeight="true" outlineLevel="0" collapsed="false">
      <c r="A1" s="90" t="s">
        <v>306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customFormat="false" ht="28.9" hidden="false" customHeight="true" outlineLevel="0" collapsed="false">
      <c r="A2" s="91" t="s">
        <v>89</v>
      </c>
      <c r="B2" s="92" t="s">
        <v>307</v>
      </c>
      <c r="C2" s="92" t="s">
        <v>308</v>
      </c>
      <c r="D2" s="93" t="s">
        <v>309</v>
      </c>
      <c r="E2" s="93"/>
      <c r="F2" s="93"/>
      <c r="G2" s="93" t="s">
        <v>310</v>
      </c>
      <c r="H2" s="93"/>
      <c r="I2" s="93"/>
      <c r="J2" s="93" t="s">
        <v>311</v>
      </c>
      <c r="K2" s="93"/>
      <c r="L2" s="93"/>
      <c r="M2" s="93" t="s">
        <v>312</v>
      </c>
      <c r="N2" s="93"/>
      <c r="O2" s="93"/>
      <c r="P2" s="93" t="s">
        <v>313</v>
      </c>
      <c r="Q2" s="93"/>
      <c r="R2" s="93"/>
      <c r="S2" s="93" t="s">
        <v>314</v>
      </c>
      <c r="T2" s="93"/>
      <c r="U2" s="93"/>
      <c r="V2" s="94" t="s">
        <v>315</v>
      </c>
      <c r="W2" s="94"/>
      <c r="X2" s="94"/>
    </row>
    <row r="3" customFormat="false" ht="13.5" hidden="false" customHeight="false" outlineLevel="0" collapsed="false">
      <c r="A3" s="91"/>
      <c r="B3" s="92"/>
      <c r="C3" s="92"/>
      <c r="D3" s="95" t="s">
        <v>316</v>
      </c>
      <c r="E3" s="95" t="s">
        <v>317</v>
      </c>
      <c r="F3" s="95" t="s">
        <v>318</v>
      </c>
      <c r="G3" s="95" t="s">
        <v>316</v>
      </c>
      <c r="H3" s="95" t="s">
        <v>317</v>
      </c>
      <c r="I3" s="95" t="s">
        <v>318</v>
      </c>
      <c r="J3" s="95" t="s">
        <v>316</v>
      </c>
      <c r="K3" s="95" t="s">
        <v>317</v>
      </c>
      <c r="L3" s="95" t="s">
        <v>318</v>
      </c>
      <c r="M3" s="95" t="s">
        <v>316</v>
      </c>
      <c r="N3" s="95" t="s">
        <v>317</v>
      </c>
      <c r="O3" s="95" t="s">
        <v>318</v>
      </c>
      <c r="P3" s="95" t="s">
        <v>316</v>
      </c>
      <c r="Q3" s="95" t="s">
        <v>317</v>
      </c>
      <c r="R3" s="95" t="s">
        <v>318</v>
      </c>
      <c r="S3" s="95" t="s">
        <v>316</v>
      </c>
      <c r="T3" s="95" t="s">
        <v>317</v>
      </c>
      <c r="U3" s="95" t="s">
        <v>318</v>
      </c>
      <c r="V3" s="95" t="s">
        <v>316</v>
      </c>
      <c r="W3" s="95" t="s">
        <v>317</v>
      </c>
      <c r="X3" s="96" t="s">
        <v>318</v>
      </c>
    </row>
    <row r="4" customFormat="false" ht="13.5" hidden="false" customHeight="true" outlineLevel="0" collapsed="false">
      <c r="A4" s="97" t="s">
        <v>274</v>
      </c>
      <c r="B4" s="98" t="s">
        <v>319</v>
      </c>
      <c r="C4" s="99" t="s">
        <v>13</v>
      </c>
      <c r="D4" s="100" t="n">
        <v>4634.35294117647</v>
      </c>
      <c r="E4" s="100" t="n">
        <v>5015.13725490196</v>
      </c>
      <c r="F4" s="100" t="n">
        <v>7126.04575163399</v>
      </c>
      <c r="G4" s="100" t="n">
        <v>4148.73202614379</v>
      </c>
      <c r="H4" s="100" t="n">
        <v>4449.64705882353</v>
      </c>
      <c r="I4" s="100" t="n">
        <v>6483.30065359477</v>
      </c>
      <c r="J4" s="100" t="n">
        <v>4706.74509803922</v>
      </c>
      <c r="K4" s="100" t="n">
        <v>5042.62745098039</v>
      </c>
      <c r="L4" s="100" t="n">
        <v>7467.86274509804</v>
      </c>
      <c r="M4" s="100" t="n">
        <v>4961.15032679739</v>
      </c>
      <c r="N4" s="100" t="n">
        <v>5351.93464052288</v>
      </c>
      <c r="O4" s="100" t="n">
        <v>7910.35947712418</v>
      </c>
      <c r="P4" s="100" t="n">
        <v>4341.80392156863</v>
      </c>
      <c r="Q4" s="100" t="n">
        <v>4621.47712418301</v>
      </c>
      <c r="R4" s="100" t="n">
        <v>6802.26797385621</v>
      </c>
      <c r="S4" s="100" t="n">
        <v>4010.23529411765</v>
      </c>
      <c r="T4" s="100" t="n">
        <v>4264.94117647059</v>
      </c>
      <c r="U4" s="100" t="n">
        <v>6526.66013071895</v>
      </c>
      <c r="V4" s="101" t="s">
        <v>30</v>
      </c>
      <c r="W4" s="101" t="s">
        <v>30</v>
      </c>
      <c r="X4" s="102" t="s">
        <v>30</v>
      </c>
    </row>
    <row r="5" customFormat="false" ht="13.5" hidden="false" customHeight="false" outlineLevel="0" collapsed="false">
      <c r="A5" s="103" t="s">
        <v>276</v>
      </c>
      <c r="B5" s="98"/>
      <c r="C5" s="99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1"/>
      <c r="W5" s="101"/>
      <c r="X5" s="102"/>
    </row>
    <row r="6" customFormat="false" ht="13.5" hidden="false" customHeight="false" outlineLevel="0" collapsed="false">
      <c r="A6" s="103" t="s">
        <v>278</v>
      </c>
      <c r="B6" s="98"/>
      <c r="C6" s="99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1"/>
      <c r="W6" s="101"/>
      <c r="X6" s="102"/>
    </row>
    <row r="7" customFormat="false" ht="13.5" hidden="false" customHeight="false" outlineLevel="0" collapsed="false">
      <c r="A7" s="103" t="s">
        <v>279</v>
      </c>
      <c r="B7" s="98"/>
      <c r="C7" s="99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1"/>
      <c r="W7" s="101"/>
      <c r="X7" s="102"/>
    </row>
    <row r="8" customFormat="false" ht="13.5" hidden="false" customHeight="false" outlineLevel="0" collapsed="false">
      <c r="A8" s="103" t="s">
        <v>281</v>
      </c>
      <c r="B8" s="98"/>
      <c r="C8" s="99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1"/>
      <c r="W8" s="101"/>
      <c r="X8" s="102"/>
    </row>
    <row r="9" customFormat="false" ht="13.8" hidden="false" customHeight="false" outlineLevel="0" collapsed="false">
      <c r="A9" s="103" t="s">
        <v>284</v>
      </c>
      <c r="B9" s="98"/>
      <c r="C9" s="99"/>
      <c r="D9" s="104" t="n">
        <v>4586.35294117647</v>
      </c>
      <c r="E9" s="105" t="n">
        <v>4967.13725490196</v>
      </c>
      <c r="F9" s="106" t="n">
        <v>7032.04575163399</v>
      </c>
      <c r="G9" s="104" t="n">
        <v>4100.73202614379</v>
      </c>
      <c r="H9" s="105" t="n">
        <v>4401.64705882353</v>
      </c>
      <c r="I9" s="106" t="n">
        <v>6389.30065359477</v>
      </c>
      <c r="J9" s="104" t="n">
        <v>4658.74509803922</v>
      </c>
      <c r="K9" s="105" t="n">
        <v>4994.62745098039</v>
      </c>
      <c r="L9" s="106" t="n">
        <v>7373.86274509804</v>
      </c>
      <c r="M9" s="104" t="n">
        <v>4913.15032679739</v>
      </c>
      <c r="N9" s="105" t="n">
        <v>5303.93464052288</v>
      </c>
      <c r="O9" s="106" t="n">
        <v>7816.35947712418</v>
      </c>
      <c r="P9" s="104" t="n">
        <v>4293.80392156863</v>
      </c>
      <c r="Q9" s="105" t="n">
        <v>4573.47712418301</v>
      </c>
      <c r="R9" s="106" t="n">
        <v>6708.26797385621</v>
      </c>
      <c r="S9" s="104" t="n">
        <v>3962.23529411765</v>
      </c>
      <c r="T9" s="105" t="n">
        <v>4216.94117647059</v>
      </c>
      <c r="U9" s="106" t="n">
        <v>5732.66013071895</v>
      </c>
      <c r="V9" s="105" t="s">
        <v>30</v>
      </c>
      <c r="W9" s="105" t="s">
        <v>30</v>
      </c>
      <c r="X9" s="107" t="s">
        <v>30</v>
      </c>
    </row>
    <row r="10" customFormat="false" ht="13.8" hidden="false" customHeight="false" outlineLevel="0" collapsed="false">
      <c r="A10" s="103" t="s">
        <v>320</v>
      </c>
      <c r="B10" s="98"/>
      <c r="C10" s="99"/>
      <c r="D10" s="104" t="n">
        <v>4358.35294117647</v>
      </c>
      <c r="E10" s="105" t="n">
        <v>4739.13725490196</v>
      </c>
      <c r="F10" s="106" t="n">
        <v>6683.04575163399</v>
      </c>
      <c r="G10" s="104" t="n">
        <v>3682.73202614379</v>
      </c>
      <c r="H10" s="105" t="n">
        <v>3983.64705882353</v>
      </c>
      <c r="I10" s="106" t="n">
        <v>5770.30065359477</v>
      </c>
      <c r="J10" s="104" t="n">
        <v>4330.74509803922</v>
      </c>
      <c r="K10" s="105" t="n">
        <v>4666.62745098039</v>
      </c>
      <c r="L10" s="106" t="n">
        <v>6804.86274509804</v>
      </c>
      <c r="M10" s="104" t="n">
        <v>4595.15032679739</v>
      </c>
      <c r="N10" s="105" t="n">
        <v>4985.93464052288</v>
      </c>
      <c r="O10" s="106" t="n">
        <v>7197.35947712418</v>
      </c>
      <c r="P10" s="104" t="n">
        <v>3575.80392156863</v>
      </c>
      <c r="Q10" s="105" t="n">
        <v>3855.47712418301</v>
      </c>
      <c r="R10" s="106" t="n">
        <v>5759.26797385621</v>
      </c>
      <c r="S10" s="104" t="n">
        <v>3214.23529411765</v>
      </c>
      <c r="T10" s="105" t="n">
        <v>3468.94117647059</v>
      </c>
      <c r="U10" s="106" t="n">
        <v>5383.66013071895</v>
      </c>
      <c r="V10" s="105" t="s">
        <v>30</v>
      </c>
      <c r="W10" s="105" t="s">
        <v>30</v>
      </c>
      <c r="X10" s="107" t="s">
        <v>30</v>
      </c>
    </row>
    <row r="11" customFormat="false" ht="13.8" hidden="false" customHeight="false" outlineLevel="0" collapsed="false">
      <c r="A11" s="103" t="s">
        <v>321</v>
      </c>
      <c r="B11" s="98"/>
      <c r="C11" s="99"/>
      <c r="D11" s="104" t="n">
        <v>4358.35294117647</v>
      </c>
      <c r="E11" s="105" t="n">
        <v>4739.13725490196</v>
      </c>
      <c r="F11" s="106" t="n">
        <v>6533.04575163399</v>
      </c>
      <c r="G11" s="104" t="n">
        <v>3692.73202614379</v>
      </c>
      <c r="H11" s="105" t="n">
        <v>3993.64705882353</v>
      </c>
      <c r="I11" s="106" t="n">
        <v>5770.30065359477</v>
      </c>
      <c r="J11" s="104" t="n">
        <v>4340.74509803922</v>
      </c>
      <c r="K11" s="105" t="n">
        <v>4676.62745098039</v>
      </c>
      <c r="L11" s="106" t="n">
        <v>6824.86274509804</v>
      </c>
      <c r="M11" s="104" t="n">
        <v>4595.15032679739</v>
      </c>
      <c r="N11" s="105" t="n">
        <v>4985.93464052288</v>
      </c>
      <c r="O11" s="106" t="n">
        <v>7197.35947712418</v>
      </c>
      <c r="P11" s="104" t="n">
        <v>3575.80392156863</v>
      </c>
      <c r="Q11" s="105" t="n">
        <v>3855.47712418301</v>
      </c>
      <c r="R11" s="106" t="n">
        <v>5759.26797385621</v>
      </c>
      <c r="S11" s="104" t="n">
        <v>3214.23529411765</v>
      </c>
      <c r="T11" s="105" t="n">
        <v>3468.94117647059</v>
      </c>
      <c r="U11" s="106" t="n">
        <v>5383.66013071895</v>
      </c>
      <c r="V11" s="105" t="s">
        <v>30</v>
      </c>
      <c r="W11" s="105" t="s">
        <v>30</v>
      </c>
      <c r="X11" s="107" t="s">
        <v>30</v>
      </c>
    </row>
    <row r="12" customFormat="false" ht="13.5" hidden="false" customHeight="true" outlineLevel="0" collapsed="false">
      <c r="A12" s="103" t="s">
        <v>274</v>
      </c>
      <c r="B12" s="108" t="s">
        <v>19</v>
      </c>
      <c r="C12" s="99"/>
      <c r="D12" s="105" t="n">
        <v>4456.92810457516</v>
      </c>
      <c r="E12" s="105" t="n">
        <v>4837.32026143791</v>
      </c>
      <c r="F12" s="105" t="n">
        <v>6961.67973856209</v>
      </c>
      <c r="G12" s="105" t="n">
        <v>4008.78431372549</v>
      </c>
      <c r="H12" s="105" t="n">
        <v>4309.43790849673</v>
      </c>
      <c r="I12" s="105" t="n">
        <v>6350.43790849673</v>
      </c>
      <c r="J12" s="105" t="n">
        <v>4510.43137254902</v>
      </c>
      <c r="K12" s="105" t="n">
        <v>4855.52941176471</v>
      </c>
      <c r="L12" s="105" t="n">
        <v>7127.11764705882</v>
      </c>
      <c r="M12" s="105" t="n">
        <v>4547.29411764706</v>
      </c>
      <c r="N12" s="105" t="n">
        <v>4942.06535947712</v>
      </c>
      <c r="O12" s="105" t="n">
        <v>7573.70588235294</v>
      </c>
      <c r="P12" s="105" t="n">
        <v>3713.64705882353</v>
      </c>
      <c r="Q12" s="105" t="n">
        <v>4014.30065359477</v>
      </c>
      <c r="R12" s="105" t="n">
        <v>6107.58823529412</v>
      </c>
      <c r="S12" s="105" t="s">
        <v>30</v>
      </c>
      <c r="T12" s="105"/>
      <c r="U12" s="105"/>
      <c r="V12" s="107" t="s">
        <v>30</v>
      </c>
      <c r="W12" s="107"/>
      <c r="X12" s="107"/>
    </row>
    <row r="13" customFormat="false" ht="13.5" hidden="false" customHeight="false" outlineLevel="0" collapsed="false">
      <c r="A13" s="103" t="s">
        <v>276</v>
      </c>
      <c r="B13" s="108"/>
      <c r="C13" s="99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7"/>
      <c r="W13" s="107"/>
      <c r="X13" s="107"/>
    </row>
    <row r="14" customFormat="false" ht="13.5" hidden="false" customHeight="false" outlineLevel="0" collapsed="false">
      <c r="A14" s="103" t="s">
        <v>278</v>
      </c>
      <c r="B14" s="108"/>
      <c r="C14" s="99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7"/>
      <c r="W14" s="107"/>
      <c r="X14" s="107"/>
    </row>
    <row r="15" customFormat="false" ht="13.5" hidden="false" customHeight="false" outlineLevel="0" collapsed="false">
      <c r="A15" s="103" t="s">
        <v>279</v>
      </c>
      <c r="B15" s="108"/>
      <c r="C15" s="99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7"/>
      <c r="W15" s="107"/>
      <c r="X15" s="107"/>
    </row>
    <row r="16" customFormat="false" ht="13.5" hidden="false" customHeight="false" outlineLevel="0" collapsed="false">
      <c r="A16" s="103" t="s">
        <v>281</v>
      </c>
      <c r="B16" s="108"/>
      <c r="C16" s="99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7"/>
      <c r="W16" s="107"/>
      <c r="X16" s="107"/>
    </row>
    <row r="17" customFormat="false" ht="13.8" hidden="false" customHeight="false" outlineLevel="0" collapsed="false">
      <c r="A17" s="103" t="s">
        <v>284</v>
      </c>
      <c r="B17" s="108"/>
      <c r="C17" s="99"/>
      <c r="D17" s="105" t="n">
        <v>4408.92810457516</v>
      </c>
      <c r="E17" s="105" t="n">
        <v>4789.32026143791</v>
      </c>
      <c r="F17" s="105" t="n">
        <v>6867.67973856209</v>
      </c>
      <c r="G17" s="105" t="n">
        <v>3960.78431372549</v>
      </c>
      <c r="H17" s="105" t="n">
        <v>4261.43790849673</v>
      </c>
      <c r="I17" s="105" t="n">
        <v>6256.43790849673</v>
      </c>
      <c r="J17" s="105" t="n">
        <v>4462.43137254902</v>
      </c>
      <c r="K17" s="105" t="n">
        <v>4807.52941176471</v>
      </c>
      <c r="L17" s="105" t="n">
        <v>7033.11764705882</v>
      </c>
      <c r="M17" s="105" t="n">
        <v>4499.29411764706</v>
      </c>
      <c r="N17" s="105" t="n">
        <v>4894.06535947712</v>
      </c>
      <c r="O17" s="105" t="n">
        <v>7479.70588235294</v>
      </c>
      <c r="P17" s="105" t="n">
        <v>3665.64705882353</v>
      </c>
      <c r="Q17" s="105" t="n">
        <v>3966.30065359477</v>
      </c>
      <c r="R17" s="105" t="n">
        <v>6013.58823529412</v>
      </c>
      <c r="S17" s="109" t="s">
        <v>30</v>
      </c>
      <c r="T17" s="109"/>
      <c r="U17" s="109"/>
      <c r="V17" s="110" t="s">
        <v>30</v>
      </c>
      <c r="W17" s="110"/>
      <c r="X17" s="110"/>
    </row>
    <row r="18" customFormat="false" ht="13.8" hidden="false" customHeight="false" outlineLevel="0" collapsed="false">
      <c r="A18" s="103" t="s">
        <v>320</v>
      </c>
      <c r="B18" s="108"/>
      <c r="C18" s="99"/>
      <c r="D18" s="105" t="n">
        <v>4180.92810457516</v>
      </c>
      <c r="E18" s="105" t="n">
        <v>4561.32026143791</v>
      </c>
      <c r="F18" s="105" t="n">
        <v>6518.67973856209</v>
      </c>
      <c r="G18" s="105" t="n">
        <v>3542.78431372549</v>
      </c>
      <c r="H18" s="105" t="n">
        <v>3843.43790849673</v>
      </c>
      <c r="I18" s="105" t="n">
        <v>5637.43790849673</v>
      </c>
      <c r="J18" s="105" t="n">
        <v>4134.43137254902</v>
      </c>
      <c r="K18" s="105" t="n">
        <v>4479.52941176471</v>
      </c>
      <c r="L18" s="105" t="n">
        <v>6464.11764705882</v>
      </c>
      <c r="M18" s="105" t="n">
        <v>4181.29411764706</v>
      </c>
      <c r="N18" s="105" t="n">
        <v>4576.06535947712</v>
      </c>
      <c r="O18" s="105" t="n">
        <v>6860.70588235294</v>
      </c>
      <c r="P18" s="105" t="n">
        <v>2947.64705882353</v>
      </c>
      <c r="Q18" s="105" t="n">
        <v>3248.30065359477</v>
      </c>
      <c r="R18" s="105" t="n">
        <v>5064.58823529412</v>
      </c>
      <c r="S18" s="109"/>
      <c r="T18" s="109"/>
      <c r="U18" s="109"/>
      <c r="V18" s="110"/>
      <c r="W18" s="110"/>
      <c r="X18" s="110"/>
    </row>
    <row r="19" customFormat="false" ht="13.8" hidden="false" customHeight="false" outlineLevel="0" collapsed="false">
      <c r="A19" s="111" t="s">
        <v>321</v>
      </c>
      <c r="B19" s="108"/>
      <c r="C19" s="99"/>
      <c r="D19" s="109" t="n">
        <v>4180.92810457516</v>
      </c>
      <c r="E19" s="109" t="n">
        <v>4561.32026143791</v>
      </c>
      <c r="F19" s="109" t="n">
        <v>6368.67973856209</v>
      </c>
      <c r="G19" s="109" t="n">
        <v>3552.78431372549</v>
      </c>
      <c r="H19" s="109" t="n">
        <v>3853.43790849673</v>
      </c>
      <c r="I19" s="109" t="n">
        <v>5637.43790849673</v>
      </c>
      <c r="J19" s="109" t="n">
        <v>4144.43137254902</v>
      </c>
      <c r="K19" s="109" t="n">
        <v>4489.52941176471</v>
      </c>
      <c r="L19" s="109" t="n">
        <v>6484.11764705882</v>
      </c>
      <c r="M19" s="109" t="n">
        <v>4181.29411764706</v>
      </c>
      <c r="N19" s="109" t="n">
        <v>4576.06535947712</v>
      </c>
      <c r="O19" s="109" t="n">
        <v>6860.70588235294</v>
      </c>
      <c r="P19" s="109" t="n">
        <v>2947.64705882353</v>
      </c>
      <c r="Q19" s="109" t="n">
        <v>3248.30065359477</v>
      </c>
      <c r="R19" s="109" t="n">
        <v>5064.58823529412</v>
      </c>
      <c r="S19" s="109"/>
      <c r="T19" s="109"/>
      <c r="U19" s="109"/>
      <c r="V19" s="110"/>
      <c r="W19" s="110"/>
      <c r="X19" s="110"/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22.05" hidden="false" customHeight="false" outlineLevel="0" collapsed="false">
      <c r="T22" s="38" t="s">
        <v>322</v>
      </c>
    </row>
  </sheetData>
  <mergeCells count="54">
    <mergeCell ref="A1:X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B4:B11"/>
    <mergeCell ref="C4:C19"/>
    <mergeCell ref="D4:D8"/>
    <mergeCell ref="E4:E8"/>
    <mergeCell ref="F4:F8"/>
    <mergeCell ref="G4:G8"/>
    <mergeCell ref="H4:H8"/>
    <mergeCell ref="I4:I8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S4:S8"/>
    <mergeCell ref="T4:T8"/>
    <mergeCell ref="U4:U8"/>
    <mergeCell ref="V4:V8"/>
    <mergeCell ref="W4:W8"/>
    <mergeCell ref="X4:X8"/>
    <mergeCell ref="B12:B19"/>
    <mergeCell ref="D12:D16"/>
    <mergeCell ref="E12:E16"/>
    <mergeCell ref="F12:F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U16"/>
    <mergeCell ref="V12:X16"/>
    <mergeCell ref="S17:U19"/>
    <mergeCell ref="V17:X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2025-07-25T09:36:00Z</dcterms:created>
  <dc:creator>13761859465</dc:creator>
  <dc:description/>
  <dc:language>ru-RU</dc:language>
  <cp:lastModifiedBy>BORNFREE</cp:lastModifiedBy>
  <dcterms:modified xsi:type="dcterms:W3CDTF">2026-02-10T08:31:34Z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3E931D1FFFFC4A3DA2E0FFE2CDB1F5F6_13</vt:lpwstr>
  </property>
  <property fmtid="{D5CDD505-2E9C-101B-9397-08002B2CF9AE}" pid="4" name="KSOProductBuildVer">
    <vt:lpwstr>2052-12.1.0.24657</vt:lpwstr>
  </property>
  <property fmtid="{D5CDD505-2E9C-101B-9397-08002B2CF9AE}" pid="5" name="KSOReadingLayout">
    <vt:bool>1</vt:bool>
  </property>
</Properties>
</file>